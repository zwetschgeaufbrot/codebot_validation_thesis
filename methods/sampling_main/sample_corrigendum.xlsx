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wit\Documents\Uni\thesis_wittmann\methods\sampling_main\"/>
    </mc:Choice>
  </mc:AlternateContent>
  <xr:revisionPtr revIDLastSave="0" documentId="13_ncr:1_{9D4F6750-5E8F-43DC-8B87-F0592D0B4419}" xr6:coauthVersionLast="47" xr6:coauthVersionMax="47" xr10:uidLastSave="{00000000-0000-0000-0000-000000000000}"/>
  <bookViews>
    <workbookView xWindow="-103" yWindow="-103" windowWidth="33120" windowHeight="18000" activeTab="1" xr2:uid="{9B58C364-A1EF-4EE5-954C-27285F0075FE}"/>
  </bookViews>
  <sheets>
    <sheet name="sample_papers" sheetId="1" r:id="rId1"/>
    <sheet name="search_protocol" sheetId="3" r:id="rId2"/>
    <sheet name="MP" sheetId="5" r:id="rId3"/>
    <sheet name="AMPPS" sheetId="6" r:id="rId4"/>
    <sheet name="APL" sheetId="7" r:id="rId5"/>
    <sheet name="CPS" sheetId="8" r:id="rId6"/>
    <sheet name="CPSY" sheetId="9" r:id="rId7"/>
    <sheet name="CRSP" sheetId="10" r:id="rId8"/>
    <sheet name="EP" sheetId="11" r:id="rId9"/>
    <sheet name="GEP" sheetId="12" r:id="rId10"/>
    <sheet name="HP" sheetId="14" r:id="rId11"/>
    <sheet name="JEPA" sheetId="15" r:id="rId12"/>
    <sheet name="JEPG" sheetId="16" r:id="rId13"/>
    <sheet name="JEPHPP" sheetId="17" r:id="rId14"/>
    <sheet name="JPSP" sheetId="19" r:id="rId15"/>
    <sheet name="PSPB" sheetId="18" r:id="rId16"/>
    <sheet name="PA" sheetId="20" r:id="rId17"/>
    <sheet name="PPPL" sheetId="21" r:id="rId18"/>
    <sheet name="SP" sheetId="22" r:id="rId19"/>
  </sheets>
  <definedNames>
    <definedName name="_xlnm._FilterDatabase" localSheetId="0" hidden="1">sample_papers!$G$1:$G$18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F25" i="3"/>
  <c r="G25" i="3"/>
  <c r="H25" i="3"/>
  <c r="I25" i="3"/>
  <c r="J25" i="3"/>
  <c r="K25" i="3"/>
  <c r="L25" i="3"/>
  <c r="M25" i="3"/>
  <c r="N25" i="3"/>
</calcChain>
</file>

<file path=xl/sharedStrings.xml><?xml version="1.0" encoding="utf-8"?>
<sst xmlns="http://schemas.openxmlformats.org/spreadsheetml/2006/main" count="672" uniqueCount="326">
  <si>
    <t>journal</t>
  </si>
  <si>
    <t>level</t>
  </si>
  <si>
    <t>Meta-Psychology</t>
  </si>
  <si>
    <t>Advances in Methods and Practices in Psychological Science</t>
  </si>
  <si>
    <t>American Psychologist</t>
  </si>
  <si>
    <t>Applied Psycholinguistics</t>
  </si>
  <si>
    <t>Clinical Psychological Science</t>
  </si>
  <si>
    <t>Comprehensive Results in Social Psychology</t>
  </si>
  <si>
    <t>Experimental Psychology</t>
  </si>
  <si>
    <t>Frontiers in Psychology</t>
  </si>
  <si>
    <t>Global Environmental Psychology</t>
  </si>
  <si>
    <t>Health  Psychology</t>
  </si>
  <si>
    <t>Journal of Experimental Psychology: Applied</t>
  </si>
  <si>
    <t>Journal of Experimental Psychology: General</t>
  </si>
  <si>
    <t>Journal of Experimental Psychology: Human Perception and Performance</t>
  </si>
  <si>
    <t>Journal of Personality and Social Psychology</t>
  </si>
  <si>
    <t>Personality and Social Psychology Bulletin</t>
  </si>
  <si>
    <t>Personality and Social Psychology Review</t>
  </si>
  <si>
    <t xml:space="preserve">Personality Social Psychology Bulletin </t>
  </si>
  <si>
    <t>Psychosocial Bulletin</t>
  </si>
  <si>
    <t>Psychological Methods</t>
  </si>
  <si>
    <t>Psychology and Aging</t>
  </si>
  <si>
    <t>Psychology, Public Policy, and Law</t>
  </si>
  <si>
    <t>Social Psychology</t>
  </si>
  <si>
    <t>authors</t>
  </si>
  <si>
    <t>paper_title</t>
  </si>
  <si>
    <t>paper_doi</t>
  </si>
  <si>
    <t>Hussey, I.</t>
  </si>
  <si>
    <t>Data is not available upon request</t>
  </si>
  <si>
    <t>https://doi.org/10.15626/MP.2023.4008</t>
  </si>
  <si>
    <t>date</t>
  </si>
  <si>
    <t>source_url</t>
  </si>
  <si>
    <t>no code</t>
  </si>
  <si>
    <t>id</t>
  </si>
  <si>
    <t>code available upon request</t>
  </si>
  <si>
    <t>issue</t>
  </si>
  <si>
    <t>doi</t>
  </si>
  <si>
    <t>inclusion</t>
  </si>
  <si>
    <t>exclusion_reason</t>
  </si>
  <si>
    <t>https://open.lnu.se/index.php/metapsychology/about</t>
  </si>
  <si>
    <t>analyses</t>
  </si>
  <si>
    <t>chi²-test</t>
  </si>
  <si>
    <t>no analyses</t>
  </si>
  <si>
    <t>abstract</t>
  </si>
  <si>
    <t>exclusion_level</t>
  </si>
  <si>
    <t>paper</t>
  </si>
  <si>
    <t>title</t>
  </si>
  <si>
    <t>wrong analyses</t>
  </si>
  <si>
    <t>review</t>
  </si>
  <si>
    <t>meta analysis</t>
  </si>
  <si>
    <t>https://doi.org/10.1177/25152459251372116</t>
  </si>
  <si>
    <t>simulation based</t>
  </si>
  <si>
    <t>https://doi.org/10.1177/25152459251379432</t>
  </si>
  <si>
    <t>meta analyses</t>
  </si>
  <si>
    <t>https://doi.org/10.1177/25152459251380452</t>
  </si>
  <si>
    <t>tutorial</t>
  </si>
  <si>
    <t>https://doi.org/10.1177/25152459251375445</t>
  </si>
  <si>
    <t>https://doi.org/10.1177/25152459251378420</t>
  </si>
  <si>
    <t>framework</t>
  </si>
  <si>
    <t>multilevel model</t>
  </si>
  <si>
    <t>https://journals.sagepub.com/home/AMP</t>
  </si>
  <si>
    <t>https://www.cambridge.org/core/journals/applied-psycholinguistics/listing?q=&amp;searchWithinIds=9C79E8A2AAD1918E8F13D1D92AEEEE7E&amp;aggs[productTypes][filters]=JOURNAL_ARTICLE</t>
  </si>
  <si>
    <t>https://journals.sagepub.com/loi/CPX</t>
  </si>
  <si>
    <t>notes</t>
  </si>
  <si>
    <t>badges sind nicht immer vergeben obwohl materialien verlinkt sind</t>
  </si>
  <si>
    <t>https://doi.org/10.1177/21677026241308163</t>
  </si>
  <si>
    <t>https://doi.org/10.1177/21677026241301056</t>
  </si>
  <si>
    <t xml:space="preserve">linear regression, correlations </t>
  </si>
  <si>
    <t>https://doi.org/10.1177/21677026251315118</t>
  </si>
  <si>
    <t>binary logistic regression</t>
  </si>
  <si>
    <t>https://doi.org/10.1177/21677026251338829</t>
  </si>
  <si>
    <t>https://doi.org/10.1177/21677026251340348</t>
  </si>
  <si>
    <t>https://doi.org/10.1177/21677026251333784</t>
  </si>
  <si>
    <t xml:space="preserve">multilevel MSEMs </t>
  </si>
  <si>
    <t>https://doi.org/10.1177/21677026251339435</t>
  </si>
  <si>
    <t>mediation model</t>
  </si>
  <si>
    <t>longitudinal cross–lagged actor–partner-independence models (APIMs)</t>
  </si>
  <si>
    <t>https://doi.org/10.1177/21677026251340032</t>
  </si>
  <si>
    <t>MLM</t>
  </si>
  <si>
    <t>https://doi.org/10.1177/21677026251335346</t>
  </si>
  <si>
    <t>https://doi.org/10.1177/21677026251331550</t>
  </si>
  <si>
    <t>beta and poisson regression</t>
  </si>
  <si>
    <t>https://online.ucpress.edu/collabra/search-results?sort=Date+-+Newest+First&amp;fl_SiteID=1000089&amp;page=1&amp;f_ContentType=Journal+Articles</t>
  </si>
  <si>
    <t>available upon request</t>
  </si>
  <si>
    <t>https://www.tandfonline.com/loi/rrsp20</t>
  </si>
  <si>
    <t>https://doi.org/10.1080/23743603.2025.2507434</t>
  </si>
  <si>
    <t>current issue</t>
  </si>
  <si>
    <t>Pearson’s Chi-squared tests, multiple regression, linear mixed-effects regression</t>
  </si>
  <si>
    <t>https://econtent.hogrefe.com/loi/zea</t>
  </si>
  <si>
    <t>https://doi.org/10.1027/1618-3169/a000648</t>
  </si>
  <si>
    <t>theoretical</t>
  </si>
  <si>
    <t>https://doi.org/10.1027/1618-3169/a000649</t>
  </si>
  <si>
    <t>anova, bonferoni holm, pearson correlation, repeated anovas</t>
  </si>
  <si>
    <t>https://doi.org/10.1027/1618-3169/a000650</t>
  </si>
  <si>
    <t>https://doi.org/10.1027/1618-3169/a000645</t>
  </si>
  <si>
    <t>analyses in spss</t>
  </si>
  <si>
    <t>https://doi.org/10.1027/1618-3169/a000646</t>
  </si>
  <si>
    <t>single-factor repeated measures ANOVA, Pairwise comparisons,  repeated measures ANOVA, Mediation analyses</t>
  </si>
  <si>
    <t>no statistical analyses</t>
  </si>
  <si>
    <t>https://gep.psychopen.eu/index.php/gep/issue/archive</t>
  </si>
  <si>
    <t>https://doi.org/10.5964/gep.12057</t>
  </si>
  <si>
    <t>e12057</t>
  </si>
  <si>
    <t>spss</t>
  </si>
  <si>
    <t>qualitative study</t>
  </si>
  <si>
    <t>https://doi.org/10.5964/gep.13089</t>
  </si>
  <si>
    <t>https://doi.org/10.5964/gep.11651</t>
  </si>
  <si>
    <t>https://doi.org/10.5964/gep.10895</t>
  </si>
  <si>
    <t>correlation, linear regression, mann whitney u</t>
  </si>
  <si>
    <t>https://psycnet.apa.org/doi/10.1037/hea0001527</t>
  </si>
  <si>
    <t>analysis of variance, hierarchical linear regression, and mediation analyses, covariates</t>
  </si>
  <si>
    <t>https://psycnet.apa.org/doi/10.1037/hea0001518</t>
  </si>
  <si>
    <t>sas, available upon request</t>
  </si>
  <si>
    <t>https://psycnet.apa.org/doi/10.1037/hea0001530</t>
  </si>
  <si>
    <t>Residualized change models, correlations</t>
  </si>
  <si>
    <t>available upon reasonable request</t>
  </si>
  <si>
    <t>https://psycnet.apa.org/doi/10.1037/hea0001528</t>
  </si>
  <si>
    <t>Gaussian
graphical model (GGM)</t>
  </si>
  <si>
    <t>https://psycnet.apa.org/doi/10.1037/hea0001522</t>
  </si>
  <si>
    <t>no data, wrong analyses</t>
  </si>
  <si>
    <t>https://psycnet.apa.org/doi/10.1037/hea0001519</t>
  </si>
  <si>
    <t>https://psycnet.apa.org/doi/10.1037/hea0001524</t>
  </si>
  <si>
    <t>multiple linear regressions, moderator regression</t>
  </si>
  <si>
    <t>https://doi.org/10.1037/xap0000541</t>
  </si>
  <si>
    <t>BF</t>
  </si>
  <si>
    <t>https://psycnet.apa.org/doi/10.1037/xap0000535</t>
  </si>
  <si>
    <t>analysis of variance,  in studie 3</t>
  </si>
  <si>
    <t>https://psycnet.apa.org/doi/10.1037/xap0000537</t>
  </si>
  <si>
    <t>https://psycnet.apa.org/doi/10.1037/xap0000534</t>
  </si>
  <si>
    <t>https://doi.org/10.1037/xap0000539</t>
  </si>
  <si>
    <t>analysis in jasp</t>
  </si>
  <si>
    <t>https://psycnet.apa.org/doi/10.1037/xap0000542</t>
  </si>
  <si>
    <t>multilevel logistic regression, Bayes</t>
  </si>
  <si>
    <t>https://psycnet.apa.org/doi/10.1037/xap0000536</t>
  </si>
  <si>
    <t>https://psycnet.apa.org/doi/10.1037/xap0000543</t>
  </si>
  <si>
    <t>retraction notice</t>
  </si>
  <si>
    <t>https://journals.sagepub.com/home/hpq</t>
  </si>
  <si>
    <t>https://psycnet.apa.org/PsycARTICLES/journal/xap/31/4</t>
  </si>
  <si>
    <t>https://psycnet.apa.org/doi/10.1037/xap0000528</t>
  </si>
  <si>
    <t>https://psycnet.apa.org/doi/10.1037/xap0000530</t>
  </si>
  <si>
    <t>mixed ANOVA</t>
  </si>
  <si>
    <t>https://psycnet.apa.org/doi/10.1037/xap0000538</t>
  </si>
  <si>
    <t>no code, available upon request</t>
  </si>
  <si>
    <t>https://psycnet.apa.org/doi/10.1037/xap0000527</t>
  </si>
  <si>
    <t>https://psycnet.apa.org/doi/10.1037/xap0000523</t>
  </si>
  <si>
    <t xml:space="preserve">t test, regression </t>
  </si>
  <si>
    <t>https://www.apa.org/pubs/journals/xge</t>
  </si>
  <si>
    <t>https://psycnet.apa.org/doi/10.1037/xge0001836</t>
  </si>
  <si>
    <t>2way anova</t>
  </si>
  <si>
    <t>sas</t>
  </si>
  <si>
    <t>https://psycnet.apa.org/doi/10.1037/xhp0001299</t>
  </si>
  <si>
    <t>editorial policy</t>
  </si>
  <si>
    <t>https://psycnet.apa.org/doi/10.1037/xhp0001361</t>
  </si>
  <si>
    <t>https://psycnet.apa.org/doi/10.1037/xhp0001369</t>
  </si>
  <si>
    <t>https://psycnet.apa.org/doi/10.1037/xhp0001367</t>
  </si>
  <si>
    <t>https://psycnet.apa.org/doi/10.1037/xhp0001368</t>
  </si>
  <si>
    <t>https://psycnet.apa.org/doi/10.1037/xhp0001371</t>
  </si>
  <si>
    <t>https://psycnet.apa.org/doi/10.1037/xhp0001374</t>
  </si>
  <si>
    <t>https://psycnet.apa.org/doi/10.1037/xhp0001226</t>
  </si>
  <si>
    <t>data and materials  available upon request</t>
  </si>
  <si>
    <t>https://psycnet.apa.org/PsycARTICLES/journal/xhp/51/12</t>
  </si>
  <si>
    <t>https://journals.sagepub.com/loi/PSP</t>
  </si>
  <si>
    <t>https://psycnet.apa.org/PsycARTICLES/journal/psp/129/6</t>
  </si>
  <si>
    <t>https://psycnet.apa.org/PsycARTICLES/journal/met/30/6</t>
  </si>
  <si>
    <t>https://psycnet.apa.org/PsycARTICLES/journal/pag/40/8</t>
  </si>
  <si>
    <t>https://psycnet.apa.org/PsycARTICLES/journal/law/31/4</t>
  </si>
  <si>
    <t>https://econtent.hogrefe.com/loi/zsp</t>
  </si>
  <si>
    <t>repeated measures analysis of variance (ANOVA), ANOVA, Paired-sample t tests</t>
  </si>
  <si>
    <t>matlab</t>
  </si>
  <si>
    <t>jamovi</t>
  </si>
  <si>
    <t>correciton</t>
  </si>
  <si>
    <t>https://psycnet.apa.org/doi/10.1037/xhp0001277</t>
  </si>
  <si>
    <t>https://psycnet.apa.org/doi/10.1037/xhp0001349</t>
  </si>
  <si>
    <t>https://psycnet.apa.org/doi/10.1037/xhp0001350</t>
  </si>
  <si>
    <t>https://psycnet.apa.org/doi/10.1037/xhp0001335</t>
  </si>
  <si>
    <t>https://psycnet.apa.org/doi/10.1037/xhp0001359</t>
  </si>
  <si>
    <t>tribute</t>
  </si>
  <si>
    <t>simulation, within-participant serial
reproduction method,</t>
  </si>
  <si>
    <t>mixed-effects analysis of var-
iance (ANOVA) with Type III sums of squares, post hoc t tests</t>
  </si>
  <si>
    <t>https://psycnet.apa.org/doi/10.1037/pspa0000456</t>
  </si>
  <si>
    <t>linear regression, t-test</t>
  </si>
  <si>
    <t>https://doi.org/10.1177/01461672241237383</t>
  </si>
  <si>
    <t>https://doi.org/10.1177/01461672241247481</t>
  </si>
  <si>
    <t>https://doi.org/10.1177/01461672241229006</t>
  </si>
  <si>
    <t>sav</t>
  </si>
  <si>
    <t>https://doi.org/10.1177/01461672241254695</t>
  </si>
  <si>
    <t>repeated measures analysis of variance (ANOVA)</t>
  </si>
  <si>
    <t>https://doi.org/10.1177/01461672241253637</t>
  </si>
  <si>
    <t>https://doi.org/10.1177/01461672241254447</t>
  </si>
  <si>
    <t>https://doi.org/10.1177/01461672241257139</t>
  </si>
  <si>
    <t>chi square, spearman rank, t test</t>
  </si>
  <si>
    <t>https://psycnet.apa.org/doi/10.1037/pag0000925</t>
  </si>
  <si>
    <t>bayes, non linear</t>
  </si>
  <si>
    <t>https://psycnet.apa.org/doi/10.1037/pag0000920</t>
  </si>
  <si>
    <t>t-test, ANOVA</t>
  </si>
  <si>
    <t>https://psycnet.apa.org/doi/10.1037/law0000470</t>
  </si>
  <si>
    <t>https://psycnet.apa.org/doi/10.1037/law0000464</t>
  </si>
  <si>
    <t>Braun and Clarke’s reflexive thematic analysis</t>
  </si>
  <si>
    <t>https://psycnet.apa.org/doi/10.1037/law0000463</t>
  </si>
  <si>
    <t>only data no code</t>
  </si>
  <si>
    <t>https://psycnet.apa.org/doi/10.1037/law0000456</t>
  </si>
  <si>
    <t>https://doi.org/10.1027/1864-9335/a000577</t>
  </si>
  <si>
    <t>not R</t>
  </si>
  <si>
    <t>https://doi.org/10.1027/1864-9335/a000579</t>
  </si>
  <si>
    <t>https://doi.org/10.1027/1864-9335/a000582</t>
  </si>
  <si>
    <t>https://doi.org/10.1027/1864-9335/a000580</t>
  </si>
  <si>
    <t>one way anova</t>
  </si>
  <si>
    <t>volume</t>
  </si>
  <si>
    <t>time</t>
  </si>
  <si>
    <t>include</t>
  </si>
  <si>
    <t>reason_exclusion</t>
  </si>
  <si>
    <t>majority non empirical pieces</t>
  </si>
  <si>
    <t>poor quality, lots of full text missing</t>
  </si>
  <si>
    <t>only reviews and meta-analyses</t>
  </si>
  <si>
    <t>duplicate of PSPB</t>
  </si>
  <si>
    <t>only meta-analyses</t>
  </si>
  <si>
    <t>theoretical and methods pieces</t>
  </si>
  <si>
    <t>journal_short</t>
  </si>
  <si>
    <t xml:space="preserve"> MP</t>
  </si>
  <si>
    <t xml:space="preserve"> AMPPS</t>
  </si>
  <si>
    <t xml:space="preserve"> APL</t>
  </si>
  <si>
    <t xml:space="preserve"> CPS</t>
  </si>
  <si>
    <t xml:space="preserve"> CPSY</t>
  </si>
  <si>
    <t>CRSP</t>
  </si>
  <si>
    <t>EP</t>
  </si>
  <si>
    <t xml:space="preserve"> GEP</t>
  </si>
  <si>
    <t>HP</t>
  </si>
  <si>
    <t>JEPA</t>
  </si>
  <si>
    <t>JEPG</t>
  </si>
  <si>
    <t>JEPHPP</t>
  </si>
  <si>
    <t>JPSP</t>
  </si>
  <si>
    <t>PSPB</t>
  </si>
  <si>
    <t>PPPL</t>
  </si>
  <si>
    <t>PA</t>
  </si>
  <si>
    <t>SP</t>
  </si>
  <si>
    <t>editorial</t>
  </si>
  <si>
    <t>https://doi.org/10.1525/collabra.151266</t>
  </si>
  <si>
    <t>https://doi.org/10.1525/collabra.150354</t>
  </si>
  <si>
    <t>https://doi.org/10.1525/collabra.147548</t>
  </si>
  <si>
    <t>https://doi.org/10.1525/collabra.147335</t>
  </si>
  <si>
    <t>https://doi.org/10.1525/collabra.147236</t>
  </si>
  <si>
    <t>https://doi.org/10.1525/collabra.147224</t>
  </si>
  <si>
    <t>https://doi.org/10.1525/collabra.147339</t>
  </si>
  <si>
    <t>regression</t>
  </si>
  <si>
    <t>review and meta-analysis</t>
  </si>
  <si>
    <t>analysis python plots r</t>
  </si>
  <si>
    <t>e43</t>
  </si>
  <si>
    <t>e44</t>
  </si>
  <si>
    <t>e45</t>
  </si>
  <si>
    <t>e46</t>
  </si>
  <si>
    <t>https://doi.org/10.1017/S0142716425100398</t>
  </si>
  <si>
    <t>https://doi.org/10.1017/S0142716425100349</t>
  </si>
  <si>
    <t>https://doi.org/10.1017/S0142716425100374</t>
  </si>
  <si>
    <t>https://doi.org/10.1017/S0142716425100313</t>
  </si>
  <si>
    <t>https://doi.org/10.1177/25152459251393205</t>
  </si>
  <si>
    <t>https://doi.org/10.1177/25152459251391186</t>
  </si>
  <si>
    <t>https://doi.org/10.1177/25152459251391174</t>
  </si>
  <si>
    <t>https://doi.org/10.1177/25152459251385960</t>
  </si>
  <si>
    <t>Bloy et al.</t>
  </si>
  <si>
    <t>Identifying Careless Survey Respondents Through Machine Learning Using Responses to a Gibberish Scale</t>
  </si>
  <si>
    <t>paired-samples t tests, svm model</t>
  </si>
  <si>
    <t>no full code</t>
  </si>
  <si>
    <t>The Curse of Imagery: Trait Object and Spatial Imagery Differentially Relate to Symptoms of Posttraumatic Stress Disorder</t>
  </si>
  <si>
    <t>Yeung et al.</t>
  </si>
  <si>
    <t>Evans et al.</t>
  </si>
  <si>
    <t>The individual and situational factors predicting unethical behaviour in the workplace: a direct and conceptual replication of Jones &amp; Kavanagh (1996)</t>
  </si>
  <si>
    <t>Besken et al.</t>
  </si>
  <si>
    <t>Testing the Identical Effect on Predicted and Actual Memory Through Pictorial Stimuli</t>
  </si>
  <si>
    <t>Measuring Belief in Climate Change With a Single Item</t>
  </si>
  <si>
    <t>Berger et al.</t>
  </si>
  <si>
    <t>Cumulative stress and epigenetic aging: Examining the role of psychological moderators.</t>
  </si>
  <si>
    <t>Cha et al.</t>
  </si>
  <si>
    <t>The Role of Race in Lineup Construction</t>
  </si>
  <si>
    <t>Akan et al.</t>
  </si>
  <si>
    <t>bootstrapping, glmm, z test for coefficients</t>
  </si>
  <si>
    <t>Savvy or savage? How worldviews shape appraisals of antagonistic leaders.</t>
  </si>
  <si>
    <t>Nguyen et al.</t>
  </si>
  <si>
    <t>Today’s Adolescents Are More Satisfied With Being Single: Findings From a German Cohort-Sequential Study Among 14- to 40-Year-Olds</t>
  </si>
  <si>
    <t>Avilles et al.</t>
  </si>
  <si>
    <t xml:space="preserve">Hsieh et al. </t>
  </si>
  <si>
    <t>Prefrontal Overrecruitment in Older Adults: Task Demand–Dependent Efficiency and Implications for Cognitive Aging</t>
  </si>
  <si>
    <t>The Impact of Race on Assessor’s Ability to Differentiate Accurate and Inaccurate Witness Identifications: Areas of Vulnerability, Bias, and Discriminatory Outcomes</t>
  </si>
  <si>
    <t>Helm et al.</t>
  </si>
  <si>
    <t>Is Political System Justification (Counter-) Normative?</t>
  </si>
  <si>
    <t>Mancassola et al.</t>
  </si>
  <si>
    <t>MP</t>
  </si>
  <si>
    <t>AMPPS</t>
  </si>
  <si>
    <t>APL</t>
  </si>
  <si>
    <t>CPS</t>
  </si>
  <si>
    <t>GEP</t>
  </si>
  <si>
    <t>it said in R but al code in matlab??</t>
  </si>
  <si>
    <t>linear mixed and undefined, ttest im modell</t>
  </si>
  <si>
    <t>Collabra: Psychology</t>
  </si>
  <si>
    <t>CPSY</t>
  </si>
  <si>
    <t>Red and Green and the Mind in Between: How Context Modulates Feature
Relations in Action–Perception Integration</t>
  </si>
  <si>
    <t xml:space="preserve">Münster et al. </t>
  </si>
  <si>
    <t>special licensing terms</t>
  </si>
  <si>
    <t>https://doi.org/10.1037/hea0001524</t>
  </si>
  <si>
    <t>https://doi.org/10.1037/xge0001836</t>
  </si>
  <si>
    <t>https://doi.org/10.1037/xhp0001359</t>
  </si>
  <si>
    <t>https://doi.org/10.1037/pspa0000456</t>
  </si>
  <si>
    <t>https://doi.org/10.1037/pag0000920</t>
  </si>
  <si>
    <t>https://doi.org/10.1037/law0000456</t>
  </si>
  <si>
    <t>unusual reporting, never explicitly state which model they ran</t>
  </si>
  <si>
    <t>multigroup SEM analyses, wald test</t>
  </si>
  <si>
    <t>sem, bootstratpping,moderated mediation analyses</t>
  </si>
  <si>
    <t>linear mixed models, repreated measures anova</t>
  </si>
  <si>
    <t>emmeans for contrasts, glmm, pearson correlation</t>
  </si>
  <si>
    <t>Yang</t>
  </si>
  <si>
    <t>Radtke</t>
  </si>
  <si>
    <t>Carvalho</t>
  </si>
  <si>
    <t>Semantic priming and ERP correlates of predictive processing in Chinese aMCI patients</t>
  </si>
  <si>
    <t>Comparing generating predictions with retrieval practice as learning strategies for primary school children.</t>
  </si>
  <si>
    <t>https://doi.org/10.1037/xap0000523</t>
  </si>
  <si>
    <r>
      <rPr>
        <sz val="11"/>
        <color theme="1"/>
        <rFont val="Aptos Narrow"/>
        <family val="2"/>
        <scheme val="minor"/>
      </rPr>
      <t xml:space="preserve">How Effortful Is Boredom? Studying Self-Control Demands Through Pupillometry </t>
    </r>
    <r>
      <rPr>
        <i/>
        <sz val="11"/>
        <color theme="1"/>
        <rFont val="Aptos Narrow"/>
        <family val="2"/>
        <scheme val="minor"/>
      </rPr>
      <t>Open Access</t>
    </r>
  </si>
  <si>
    <t>n_total</t>
  </si>
  <si>
    <t>rmv_title</t>
  </si>
  <si>
    <t>rmv_abstract</t>
  </si>
  <si>
    <t>rmv_paper</t>
  </si>
  <si>
    <t>no_analyses</t>
  </si>
  <si>
    <t>wrong_analyses</t>
  </si>
  <si>
    <t>no_code</t>
  </si>
  <si>
    <t>wrong_language</t>
  </si>
  <si>
    <t>wrongy_p_type</t>
  </si>
  <si>
    <t>NA</t>
  </si>
  <si>
    <t>other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</si>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</sst>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4" fillId="0" borderId="0" xfId="1" applyFont="1" applyFill="1" applyAlignment="1"/>
    <xf numFmtId="14" fontId="0" fillId="0" borderId="0" xfId="0" applyNumberFormat="1"/>
    <xf numFmtId="0" fontId="0" fillId="0" borderId="1" xfId="0" applyBorder="1"/>
    <xf numFmtId="0" fontId="0" fillId="2" borderId="0" xfId="0" applyFill="1"/>
    <xf numFmtId="0" fontId="6" fillId="0" borderId="0" xfId="0" applyFont="1"/>
    <xf numFmtId="0" fontId="7" fillId="2" borderId="0" xfId="0" applyFont="1" applyFill="1"/>
    <xf numFmtId="0" fontId="0" fillId="2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DEB9"/>
      <color rgb="FFFFC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7/1864-9335/a000580" TargetMode="External"/><Relationship Id="rId13" Type="http://schemas.openxmlformats.org/officeDocument/2006/relationships/hyperlink" Target="https://doi.org/10.1017/S0142716425100313" TargetMode="External"/><Relationship Id="rId3" Type="http://schemas.openxmlformats.org/officeDocument/2006/relationships/hyperlink" Target="https://doi.org/10.1080/23743603.2025.2507434" TargetMode="External"/><Relationship Id="rId7" Type="http://schemas.openxmlformats.org/officeDocument/2006/relationships/hyperlink" Target="https://doi.org/10.1177/01461672241257139" TargetMode="External"/><Relationship Id="rId12" Type="http://schemas.openxmlformats.org/officeDocument/2006/relationships/hyperlink" Target="https://doi.org/10.1037/pag0000920" TargetMode="External"/><Relationship Id="rId2" Type="http://schemas.openxmlformats.org/officeDocument/2006/relationships/hyperlink" Target="https://doi.org/10.1177/21677026251315118" TargetMode="External"/><Relationship Id="rId1" Type="http://schemas.openxmlformats.org/officeDocument/2006/relationships/hyperlink" Target="https://doi.org/10.15626/MP.2023.4008" TargetMode="External"/><Relationship Id="rId6" Type="http://schemas.openxmlformats.org/officeDocument/2006/relationships/hyperlink" Target="https://doi.org/10.1177/25152459251378420" TargetMode="External"/><Relationship Id="rId11" Type="http://schemas.openxmlformats.org/officeDocument/2006/relationships/hyperlink" Target="https://doi.org/10.1037/xge0001836" TargetMode="External"/><Relationship Id="rId5" Type="http://schemas.openxmlformats.org/officeDocument/2006/relationships/hyperlink" Target="https://doi.org/10.5964/gep.10895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psycnet.apa.org/doi/10.1037/pspa0000456" TargetMode="External"/><Relationship Id="rId4" Type="http://schemas.openxmlformats.org/officeDocument/2006/relationships/hyperlink" Target="https://doi.org/10.1027/1618-3169/a000646" TargetMode="External"/><Relationship Id="rId9" Type="http://schemas.openxmlformats.org/officeDocument/2006/relationships/hyperlink" Target="https://psycnet.apa.org/doi/10.1037/xhp0001359" TargetMode="External"/><Relationship Id="rId14" Type="http://schemas.openxmlformats.org/officeDocument/2006/relationships/hyperlink" Target="https://doi.org/10.1037/xap00005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sagepub.com/loi/PSP" TargetMode="External"/><Relationship Id="rId13" Type="http://schemas.openxmlformats.org/officeDocument/2006/relationships/hyperlink" Target="https://open.lnu.se/index.php/metapsychology/about" TargetMode="External"/><Relationship Id="rId3" Type="http://schemas.openxmlformats.org/officeDocument/2006/relationships/hyperlink" Target="https://online.ucpress.edu/collabra/search-results?sort=Date+-+Newest+First&amp;fl_SiteID=1000089&amp;page=1&amp;f_ContentType=Journal+Articles" TargetMode="External"/><Relationship Id="rId7" Type="http://schemas.openxmlformats.org/officeDocument/2006/relationships/hyperlink" Target="https://psycnet.apa.org/PsycARTICLES/journal/psp/129/6" TargetMode="External"/><Relationship Id="rId12" Type="http://schemas.openxmlformats.org/officeDocument/2006/relationships/hyperlink" Target="https://econtent.hogrefe.com/loi/zsp" TargetMode="External"/><Relationship Id="rId2" Type="http://schemas.openxmlformats.org/officeDocument/2006/relationships/hyperlink" Target="https://journals.sagepub.com/loi/CPX" TargetMode="External"/><Relationship Id="rId1" Type="http://schemas.openxmlformats.org/officeDocument/2006/relationships/hyperlink" Target="https://journals.sagepub.com/home/AMP" TargetMode="External"/><Relationship Id="rId6" Type="http://schemas.openxmlformats.org/officeDocument/2006/relationships/hyperlink" Target="https://psycnet.apa.org/PsycARTICLES/journal/xhp/51/12" TargetMode="External"/><Relationship Id="rId11" Type="http://schemas.openxmlformats.org/officeDocument/2006/relationships/hyperlink" Target="https://psycnet.apa.org/PsycARTICLES/journal/law/31/4" TargetMode="External"/><Relationship Id="rId5" Type="http://schemas.openxmlformats.org/officeDocument/2006/relationships/hyperlink" Target="https://www.apa.org/pubs/journals/xge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psycnet.apa.org/PsycARTICLES/journal/pag/40/8" TargetMode="External"/><Relationship Id="rId4" Type="http://schemas.openxmlformats.org/officeDocument/2006/relationships/hyperlink" Target="https://econtent.hogrefe.com/loi/zea" TargetMode="External"/><Relationship Id="rId9" Type="http://schemas.openxmlformats.org/officeDocument/2006/relationships/hyperlink" Target="https://psycnet.apa.org/PsycARTICLES/journal/met/30/6" TargetMode="External"/><Relationship Id="rId14" Type="http://schemas.openxmlformats.org/officeDocument/2006/relationships/hyperlink" Target="https://psycnet.apa.org/PsycARTICLES/journal/xap/31/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626/MP.2023.400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77/25152459251391174" TargetMode="External"/><Relationship Id="rId2" Type="http://schemas.openxmlformats.org/officeDocument/2006/relationships/hyperlink" Target="https://doi.org/10.1177/25152459251378420" TargetMode="External"/><Relationship Id="rId1" Type="http://schemas.openxmlformats.org/officeDocument/2006/relationships/hyperlink" Target="https://doi.org/10.1177/2515245925137211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7/S0142716425100313" TargetMode="External"/><Relationship Id="rId1" Type="http://schemas.openxmlformats.org/officeDocument/2006/relationships/hyperlink" Target="https://doi.org/10.1017/S014271642510037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77/21677026251315118" TargetMode="External"/><Relationship Id="rId3" Type="http://schemas.openxmlformats.org/officeDocument/2006/relationships/hyperlink" Target="https://doi.org/10.1177/21677026251339435" TargetMode="External"/><Relationship Id="rId7" Type="http://schemas.openxmlformats.org/officeDocument/2006/relationships/hyperlink" Target="https://doi.org/10.1177/21677026241301056" TargetMode="External"/><Relationship Id="rId2" Type="http://schemas.openxmlformats.org/officeDocument/2006/relationships/hyperlink" Target="https://doi.org/10.1177/21677026251333784" TargetMode="External"/><Relationship Id="rId1" Type="http://schemas.openxmlformats.org/officeDocument/2006/relationships/hyperlink" Target="https://doi.org/10.1177/21677026251338829" TargetMode="External"/><Relationship Id="rId6" Type="http://schemas.openxmlformats.org/officeDocument/2006/relationships/hyperlink" Target="https://doi.org/10.1177/21677026251331550" TargetMode="External"/><Relationship Id="rId5" Type="http://schemas.openxmlformats.org/officeDocument/2006/relationships/hyperlink" Target="https://doi.org/10.1177/21677026251335346" TargetMode="External"/><Relationship Id="rId4" Type="http://schemas.openxmlformats.org/officeDocument/2006/relationships/hyperlink" Target="https://doi.org/10.1177/2167702625134003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525/collabra.147224" TargetMode="External"/><Relationship Id="rId2" Type="http://schemas.openxmlformats.org/officeDocument/2006/relationships/hyperlink" Target="https://doi.org/10.1525/collabra.147339" TargetMode="External"/><Relationship Id="rId1" Type="http://schemas.openxmlformats.org/officeDocument/2006/relationships/hyperlink" Target="https://doi.org/10.1525/collabra.15035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23743603.2025.2507434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7/1618-3169/a000650" TargetMode="External"/><Relationship Id="rId1" Type="http://schemas.openxmlformats.org/officeDocument/2006/relationships/hyperlink" Target="https://doi.org/10.1027/1618-3169/a00064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sycnet.apa.org/doi/10.1037/hea0001522" TargetMode="External"/><Relationship Id="rId2" Type="http://schemas.openxmlformats.org/officeDocument/2006/relationships/hyperlink" Target="https://psycnet.apa.org/doi/10.1037/hea0001528" TargetMode="External"/><Relationship Id="rId1" Type="http://schemas.openxmlformats.org/officeDocument/2006/relationships/hyperlink" Target="https://psycnet.apa.org/doi/10.1037/hea0001527" TargetMode="External"/><Relationship Id="rId4" Type="http://schemas.openxmlformats.org/officeDocument/2006/relationships/hyperlink" Target="https://psycnet.apa.org/doi/10.1037/hea00015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sycnet.apa.org/doi/10.1037/xap0000523" TargetMode="External"/><Relationship Id="rId3" Type="http://schemas.openxmlformats.org/officeDocument/2006/relationships/hyperlink" Target="https://psycnet.apa.org/doi/10.1037/xap0000535" TargetMode="External"/><Relationship Id="rId7" Type="http://schemas.openxmlformats.org/officeDocument/2006/relationships/hyperlink" Target="https://psycnet.apa.org/doi/10.1037/xap0000527" TargetMode="External"/><Relationship Id="rId2" Type="http://schemas.openxmlformats.org/officeDocument/2006/relationships/hyperlink" Target="https://doi.org/10.1037/xap0000541" TargetMode="External"/><Relationship Id="rId1" Type="http://schemas.openxmlformats.org/officeDocument/2006/relationships/hyperlink" Target="https://psycnet.apa.org/doi/10.1037/xap0000543" TargetMode="External"/><Relationship Id="rId6" Type="http://schemas.openxmlformats.org/officeDocument/2006/relationships/hyperlink" Target="https://psycnet.apa.org/doi/10.1037/xap0000530" TargetMode="External"/><Relationship Id="rId5" Type="http://schemas.openxmlformats.org/officeDocument/2006/relationships/hyperlink" Target="https://psycnet.apa.org/doi/10.1037/xap0000528" TargetMode="External"/><Relationship Id="rId4" Type="http://schemas.openxmlformats.org/officeDocument/2006/relationships/hyperlink" Target="https://psycnet.apa.org/doi/10.1037/xap000054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psycnet.apa.org/doi/10.1037/xhp0001350" TargetMode="External"/><Relationship Id="rId3" Type="http://schemas.openxmlformats.org/officeDocument/2006/relationships/hyperlink" Target="https://psycnet.apa.org/doi/10.1037/xhp0001371" TargetMode="External"/><Relationship Id="rId7" Type="http://schemas.openxmlformats.org/officeDocument/2006/relationships/hyperlink" Target="https://psycnet.apa.org/doi/10.1037/xhp0001349" TargetMode="External"/><Relationship Id="rId2" Type="http://schemas.openxmlformats.org/officeDocument/2006/relationships/hyperlink" Target="https://psycnet.apa.org/doi/10.1037/xhp0001368" TargetMode="External"/><Relationship Id="rId1" Type="http://schemas.openxmlformats.org/officeDocument/2006/relationships/hyperlink" Target="https://psycnet.apa.org/doi/10.1037/xhp0001367" TargetMode="External"/><Relationship Id="rId6" Type="http://schemas.openxmlformats.org/officeDocument/2006/relationships/hyperlink" Target="https://psycnet.apa.org/doi/10.1037/xhp0001277" TargetMode="External"/><Relationship Id="rId5" Type="http://schemas.openxmlformats.org/officeDocument/2006/relationships/hyperlink" Target="https://psycnet.apa.org/doi/10.1037/xhp0001226" TargetMode="External"/><Relationship Id="rId10" Type="http://schemas.openxmlformats.org/officeDocument/2006/relationships/hyperlink" Target="https://psycnet.apa.org/doi/10.1037/xhp0001359" TargetMode="External"/><Relationship Id="rId4" Type="http://schemas.openxmlformats.org/officeDocument/2006/relationships/hyperlink" Target="https://psycnet.apa.org/doi/10.1037/xhp0001374" TargetMode="External"/><Relationship Id="rId9" Type="http://schemas.openxmlformats.org/officeDocument/2006/relationships/hyperlink" Target="https://psycnet.apa.org/doi/10.1037/xhp000133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sycnet.apa.org/doi/10.1037/pspa000045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77/01461672241257139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psycnet.apa.org/doi/10.1037/pag0000920" TargetMode="External"/><Relationship Id="rId1" Type="http://schemas.openxmlformats.org/officeDocument/2006/relationships/hyperlink" Target="https://psycnet.apa.org/doi/10.1037/pag0000925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sycnet.apa.org/doi/10.1037/law0000456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7/1864-9335/a000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BF8E-3F2A-4F27-BE4A-BEBC297E731A}">
  <dimension ref="A1:G18"/>
  <sheetViews>
    <sheetView zoomScale="98" zoomScaleNormal="98" workbookViewId="0">
      <pane ySplit="1" topLeftCell="A2" activePane="bottomLeft" state="frozen"/>
      <selection activeCell="E38" sqref="E38"/>
      <selection pane="bottomLeft" activeCell="E11" sqref="E11"/>
    </sheetView>
  </sheetViews>
  <sheetFormatPr baseColWidth="10" defaultColWidth="12" defaultRowHeight="14.6" x14ac:dyDescent="0.4"/>
  <cols>
    <col min="1" max="1" width="3" bestFit="1" customWidth="1"/>
    <col min="2" max="2" width="7.3828125" bestFit="1" customWidth="1"/>
    <col min="3" max="3" width="5.3828125" bestFit="1" customWidth="1"/>
    <col min="4" max="4" width="16.69140625" bestFit="1" customWidth="1"/>
    <col min="5" max="5" width="147.3828125" bestFit="1" customWidth="1"/>
    <col min="6" max="6" width="42.69140625" bestFit="1" customWidth="1"/>
    <col min="7" max="7" width="10" bestFit="1" customWidth="1"/>
  </cols>
  <sheetData>
    <row r="1" spans="1:7" s="3" customFormat="1" x14ac:dyDescent="0.4">
      <c r="A1" s="3" t="s">
        <v>33</v>
      </c>
      <c r="B1" s="3" t="s">
        <v>0</v>
      </c>
      <c r="C1" s="3" t="s">
        <v>1</v>
      </c>
      <c r="D1" s="3" t="s">
        <v>24</v>
      </c>
      <c r="E1" s="3" t="s">
        <v>25</v>
      </c>
      <c r="F1" s="3" t="s">
        <v>26</v>
      </c>
      <c r="G1" s="3" t="s">
        <v>208</v>
      </c>
    </row>
    <row r="2" spans="1:7" x14ac:dyDescent="0.4">
      <c r="A2">
        <v>1</v>
      </c>
      <c r="B2" t="s">
        <v>284</v>
      </c>
      <c r="C2">
        <v>3</v>
      </c>
      <c r="D2" t="s">
        <v>27</v>
      </c>
      <c r="E2" t="s">
        <v>28</v>
      </c>
      <c r="F2" t="s">
        <v>29</v>
      </c>
      <c r="G2">
        <v>1</v>
      </c>
    </row>
    <row r="3" spans="1:7" x14ac:dyDescent="0.4">
      <c r="A3">
        <v>2</v>
      </c>
      <c r="B3" t="s">
        <v>285</v>
      </c>
      <c r="C3">
        <v>2</v>
      </c>
      <c r="D3" t="s">
        <v>257</v>
      </c>
      <c r="E3" t="s">
        <v>258</v>
      </c>
      <c r="F3" t="s">
        <v>57</v>
      </c>
      <c r="G3">
        <v>1</v>
      </c>
    </row>
    <row r="4" spans="1:7" x14ac:dyDescent="0.4">
      <c r="A4">
        <v>3</v>
      </c>
      <c r="B4" t="s">
        <v>286</v>
      </c>
      <c r="C4">
        <v>2</v>
      </c>
      <c r="D4" t="s">
        <v>307</v>
      </c>
      <c r="E4" t="s">
        <v>310</v>
      </c>
      <c r="F4" t="s">
        <v>252</v>
      </c>
      <c r="G4">
        <v>1</v>
      </c>
    </row>
    <row r="5" spans="1:7" x14ac:dyDescent="0.4">
      <c r="A5">
        <v>4</v>
      </c>
      <c r="B5" t="s">
        <v>287</v>
      </c>
      <c r="C5">
        <v>2</v>
      </c>
      <c r="D5" t="s">
        <v>262</v>
      </c>
      <c r="E5" t="s">
        <v>261</v>
      </c>
      <c r="F5" t="s">
        <v>68</v>
      </c>
      <c r="G5">
        <v>1</v>
      </c>
    </row>
    <row r="6" spans="1:7" x14ac:dyDescent="0.4">
      <c r="A6">
        <v>5</v>
      </c>
      <c r="B6" t="s">
        <v>292</v>
      </c>
      <c r="C6">
        <v>2</v>
      </c>
      <c r="D6" t="s">
        <v>308</v>
      </c>
      <c r="E6" t="s">
        <v>313</v>
      </c>
      <c r="F6" t="s">
        <v>235</v>
      </c>
      <c r="G6">
        <v>1</v>
      </c>
    </row>
    <row r="7" spans="1:7" x14ac:dyDescent="0.4">
      <c r="A7">
        <v>6</v>
      </c>
      <c r="B7" t="s">
        <v>222</v>
      </c>
      <c r="C7">
        <v>2</v>
      </c>
      <c r="D7" t="s">
        <v>263</v>
      </c>
      <c r="E7" t="s">
        <v>264</v>
      </c>
      <c r="F7" t="s">
        <v>85</v>
      </c>
      <c r="G7">
        <v>1</v>
      </c>
    </row>
    <row r="8" spans="1:7" x14ac:dyDescent="0.4">
      <c r="A8">
        <v>7</v>
      </c>
      <c r="B8" t="s">
        <v>223</v>
      </c>
      <c r="C8">
        <v>2</v>
      </c>
      <c r="D8" t="s">
        <v>265</v>
      </c>
      <c r="E8" t="s">
        <v>266</v>
      </c>
      <c r="F8" t="s">
        <v>96</v>
      </c>
      <c r="G8">
        <v>1</v>
      </c>
    </row>
    <row r="9" spans="1:7" x14ac:dyDescent="0.4">
      <c r="A9">
        <v>8</v>
      </c>
      <c r="B9" t="s">
        <v>288</v>
      </c>
      <c r="C9">
        <v>2</v>
      </c>
      <c r="D9" t="s">
        <v>268</v>
      </c>
      <c r="E9" t="s">
        <v>267</v>
      </c>
      <c r="F9" t="s">
        <v>106</v>
      </c>
      <c r="G9">
        <v>1</v>
      </c>
    </row>
    <row r="10" spans="1:7" x14ac:dyDescent="0.4">
      <c r="A10">
        <v>9</v>
      </c>
      <c r="B10" t="s">
        <v>225</v>
      </c>
      <c r="C10">
        <v>2</v>
      </c>
      <c r="D10" t="s">
        <v>270</v>
      </c>
      <c r="E10" t="s">
        <v>269</v>
      </c>
      <c r="F10" t="s">
        <v>296</v>
      </c>
      <c r="G10">
        <v>1</v>
      </c>
    </row>
    <row r="11" spans="1:7" x14ac:dyDescent="0.4">
      <c r="A11">
        <v>10</v>
      </c>
      <c r="B11" t="s">
        <v>226</v>
      </c>
      <c r="C11">
        <v>2</v>
      </c>
      <c r="D11" t="s">
        <v>309</v>
      </c>
      <c r="E11" t="s">
        <v>311</v>
      </c>
      <c r="F11" t="s">
        <v>312</v>
      </c>
      <c r="G11">
        <v>1</v>
      </c>
    </row>
    <row r="12" spans="1:7" x14ac:dyDescent="0.4">
      <c r="A12">
        <v>11</v>
      </c>
      <c r="B12" t="s">
        <v>227</v>
      </c>
      <c r="C12">
        <v>2</v>
      </c>
      <c r="D12" t="s">
        <v>272</v>
      </c>
      <c r="E12" t="s">
        <v>271</v>
      </c>
      <c r="F12" t="s">
        <v>297</v>
      </c>
      <c r="G12">
        <v>1</v>
      </c>
    </row>
    <row r="13" spans="1:7" x14ac:dyDescent="0.4">
      <c r="A13">
        <v>12</v>
      </c>
      <c r="B13" t="s">
        <v>228</v>
      </c>
      <c r="C13">
        <v>2</v>
      </c>
      <c r="D13" t="s">
        <v>294</v>
      </c>
      <c r="E13" t="s">
        <v>293</v>
      </c>
      <c r="F13" t="s">
        <v>298</v>
      </c>
      <c r="G13">
        <v>1</v>
      </c>
    </row>
    <row r="14" spans="1:7" x14ac:dyDescent="0.4">
      <c r="A14">
        <v>13</v>
      </c>
      <c r="B14" t="s">
        <v>229</v>
      </c>
      <c r="C14">
        <v>2</v>
      </c>
      <c r="D14" t="s">
        <v>275</v>
      </c>
      <c r="E14" t="s">
        <v>274</v>
      </c>
      <c r="F14" t="s">
        <v>299</v>
      </c>
      <c r="G14">
        <v>1</v>
      </c>
    </row>
    <row r="15" spans="1:7" x14ac:dyDescent="0.4">
      <c r="A15">
        <v>14</v>
      </c>
      <c r="B15" t="s">
        <v>230</v>
      </c>
      <c r="C15">
        <v>2</v>
      </c>
      <c r="D15" t="s">
        <v>277</v>
      </c>
      <c r="E15" t="s">
        <v>276</v>
      </c>
      <c r="F15" t="s">
        <v>188</v>
      </c>
      <c r="G15">
        <v>1</v>
      </c>
    </row>
    <row r="16" spans="1:7" x14ac:dyDescent="0.4">
      <c r="A16">
        <v>15</v>
      </c>
      <c r="B16" t="s">
        <v>232</v>
      </c>
      <c r="C16">
        <v>2</v>
      </c>
      <c r="D16" t="s">
        <v>278</v>
      </c>
      <c r="E16" t="s">
        <v>279</v>
      </c>
      <c r="F16" t="s">
        <v>300</v>
      </c>
      <c r="G16">
        <v>1</v>
      </c>
    </row>
    <row r="17" spans="1:7" x14ac:dyDescent="0.4">
      <c r="A17">
        <v>16</v>
      </c>
      <c r="B17" t="s">
        <v>231</v>
      </c>
      <c r="C17">
        <v>2</v>
      </c>
      <c r="D17" t="s">
        <v>281</v>
      </c>
      <c r="E17" t="s">
        <v>280</v>
      </c>
      <c r="F17" t="s">
        <v>301</v>
      </c>
      <c r="G17">
        <v>1</v>
      </c>
    </row>
    <row r="18" spans="1:7" x14ac:dyDescent="0.4">
      <c r="A18">
        <v>17</v>
      </c>
      <c r="B18" t="s">
        <v>233</v>
      </c>
      <c r="C18">
        <v>2</v>
      </c>
      <c r="D18" t="s">
        <v>283</v>
      </c>
      <c r="E18" t="s">
        <v>282</v>
      </c>
      <c r="F18" t="s">
        <v>204</v>
      </c>
      <c r="G18">
        <v>1</v>
      </c>
    </row>
  </sheetData>
  <autoFilter ref="G1:G18" xr:uid="{F0AFBF8E-3F2A-4F27-BE4A-BEBC297E731A}"/>
  <hyperlinks>
    <hyperlink ref="F2" r:id="rId1" xr:uid="{15654080-F2C6-4F4F-B883-05F135766319}"/>
    <hyperlink ref="F5" r:id="rId2" xr:uid="{F4875F45-FC23-4F1D-A26D-EF6F049938A9}"/>
    <hyperlink ref="F7" r:id="rId3" xr:uid="{0AD90F59-198C-44B3-B179-EC5D4679AA20}"/>
    <hyperlink ref="F8" r:id="rId4" xr:uid="{B0615369-AB73-4EAE-AD3E-DCDF4F920A00}"/>
    <hyperlink ref="F9" r:id="rId5" xr:uid="{9D97A13C-6CC7-4609-B093-4C2901F3C0D8}"/>
    <hyperlink ref="F3" r:id="rId6" xr:uid="{89BDEF5C-8001-47D7-BAC7-5EEF3574AFDD}"/>
    <hyperlink ref="F15" r:id="rId7" xr:uid="{20776E95-B265-4345-AF49-1D3389B97B62}"/>
    <hyperlink ref="F18" r:id="rId8" xr:uid="{64390F4C-198D-419C-B3DF-3F3BCB8E4705}"/>
    <hyperlink ref="F13" r:id="rId9" display="https://psycnet.apa.org/doi/10.1037/xhp0001359" xr:uid="{2F05C5A6-CA9F-4056-A939-D500FB073B32}"/>
    <hyperlink ref="F14" r:id="rId10" display="https://psycnet.apa.org/doi/10.1037/pspa0000456" xr:uid="{3CD80962-1671-4E3A-B338-BC6CE180A0E8}"/>
    <hyperlink ref="F12" r:id="rId11" xr:uid="{19FE957E-F72F-4815-82E8-38E2934C0B17}"/>
    <hyperlink ref="F16" r:id="rId12" xr:uid="{C35E6378-092D-4513-8908-6EFADF37E851}"/>
    <hyperlink ref="F4" r:id="rId13" xr:uid="{0894D94E-6546-4E23-B6F8-2BE6D33F1951}"/>
    <hyperlink ref="F11" r:id="rId14" xr:uid="{3F9FEDAE-8E97-48E1-B053-958EF1D15DCC}"/>
  </hyperlinks>
  <pageMargins left="0.7" right="0.7" top="0.78740157499999996" bottom="0.78740157499999996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39A1-F73C-4598-83EB-78041C71888D}">
  <dimension ref="A1:P25"/>
  <sheetViews>
    <sheetView tabSelected="1" workbookViewId="0">
      <pane ySplit="1" topLeftCell="A2" activePane="bottomLeft" state="frozen"/>
      <selection pane="bottomLeft" activeCell="K3" sqref="K3"/>
    </sheetView>
  </sheetViews>
  <sheetFormatPr baseColWidth="10" defaultColWidth="15" defaultRowHeight="15" customHeight="1" x14ac:dyDescent="0.4"/>
  <cols>
    <col min="1" max="1" width="15" style="2"/>
    <col min="5" max="5" width="15" style="2"/>
  </cols>
  <sheetData>
    <row r="1" spans="1:16" s="3" customFormat="1" ht="15" customHeight="1" x14ac:dyDescent="0.4">
      <c r="A1" s="1" t="s">
        <v>0</v>
      </c>
      <c r="B1" s="3" t="s">
        <v>216</v>
      </c>
      <c r="C1" s="3" t="s">
        <v>31</v>
      </c>
      <c r="D1" s="3" t="s">
        <v>208</v>
      </c>
      <c r="E1" s="1" t="s">
        <v>209</v>
      </c>
      <c r="F1" s="3" t="s">
        <v>314</v>
      </c>
      <c r="G1" s="3" t="s">
        <v>315</v>
      </c>
      <c r="H1" s="3" t="s">
        <v>316</v>
      </c>
      <c r="I1" s="3" t="s">
        <v>317</v>
      </c>
      <c r="J1" s="3" t="s">
        <v>318</v>
      </c>
      <c r="K1" s="3" t="s">
        <v>319</v>
      </c>
      <c r="L1" s="3" t="s">
        <v>322</v>
      </c>
      <c r="M1" s="3" t="s">
        <v>320</v>
      </c>
      <c r="N1" s="3" t="s">
        <v>321</v>
      </c>
      <c r="O1" s="3" t="s">
        <v>324</v>
      </c>
      <c r="P1" s="3" t="s">
        <v>63</v>
      </c>
    </row>
    <row r="2" spans="1:16" ht="15" customHeight="1" x14ac:dyDescent="0.4">
      <c r="A2" s="2" t="s">
        <v>2</v>
      </c>
      <c r="B2" t="s">
        <v>217</v>
      </c>
      <c r="C2" t="s">
        <v>39</v>
      </c>
      <c r="D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ht="15" customHeight="1" x14ac:dyDescent="0.4">
      <c r="A3" s="2" t="s">
        <v>3</v>
      </c>
      <c r="B3" t="s">
        <v>218</v>
      </c>
      <c r="C3" t="s">
        <v>60</v>
      </c>
      <c r="D3">
        <v>1</v>
      </c>
      <c r="F3">
        <v>9</v>
      </c>
      <c r="G3">
        <v>3</v>
      </c>
      <c r="H3">
        <v>3</v>
      </c>
      <c r="I3">
        <v>3</v>
      </c>
      <c r="J3">
        <v>2</v>
      </c>
      <c r="K3" s="9">
        <v>1</v>
      </c>
      <c r="L3">
        <v>5</v>
      </c>
      <c r="M3">
        <v>0</v>
      </c>
      <c r="N3">
        <v>0</v>
      </c>
      <c r="O3">
        <v>0</v>
      </c>
      <c r="P3" t="s">
        <v>64</v>
      </c>
    </row>
    <row r="4" spans="1:16" ht="15" customHeight="1" x14ac:dyDescent="0.4">
      <c r="A4" s="2" t="s">
        <v>4</v>
      </c>
      <c r="D4">
        <v>0</v>
      </c>
      <c r="E4" s="2" t="s">
        <v>210</v>
      </c>
      <c r="F4" t="s">
        <v>323</v>
      </c>
      <c r="G4" t="s">
        <v>323</v>
      </c>
      <c r="H4" t="s">
        <v>323</v>
      </c>
      <c r="I4" t="s">
        <v>323</v>
      </c>
      <c r="J4" t="s">
        <v>323</v>
      </c>
      <c r="K4" t="s">
        <v>323</v>
      </c>
      <c r="L4" t="s">
        <v>323</v>
      </c>
      <c r="M4" t="s">
        <v>323</v>
      </c>
      <c r="N4" t="s">
        <v>323</v>
      </c>
      <c r="O4" t="s">
        <v>323</v>
      </c>
    </row>
    <row r="5" spans="1:16" ht="15" customHeight="1" x14ac:dyDescent="0.4">
      <c r="A5" s="2" t="s">
        <v>5</v>
      </c>
      <c r="B5" t="s">
        <v>219</v>
      </c>
      <c r="C5" t="s">
        <v>61</v>
      </c>
      <c r="D5">
        <v>1</v>
      </c>
      <c r="F5">
        <v>4</v>
      </c>
      <c r="G5">
        <v>0</v>
      </c>
      <c r="H5">
        <v>0</v>
      </c>
      <c r="I5">
        <v>3</v>
      </c>
      <c r="J5">
        <v>0</v>
      </c>
      <c r="K5">
        <v>1</v>
      </c>
      <c r="L5">
        <v>0</v>
      </c>
      <c r="M5">
        <v>2</v>
      </c>
      <c r="N5">
        <v>0</v>
      </c>
      <c r="O5">
        <v>0</v>
      </c>
    </row>
    <row r="6" spans="1:16" ht="15" customHeight="1" x14ac:dyDescent="0.4">
      <c r="A6" s="2" t="s">
        <v>6</v>
      </c>
      <c r="B6" t="s">
        <v>220</v>
      </c>
      <c r="C6" t="s">
        <v>62</v>
      </c>
      <c r="D6">
        <v>1</v>
      </c>
      <c r="F6">
        <v>10</v>
      </c>
      <c r="G6">
        <v>3</v>
      </c>
      <c r="H6">
        <v>0</v>
      </c>
      <c r="I6">
        <v>6</v>
      </c>
      <c r="J6">
        <v>0</v>
      </c>
      <c r="K6">
        <v>2</v>
      </c>
      <c r="L6">
        <v>3</v>
      </c>
      <c r="M6">
        <v>2</v>
      </c>
      <c r="N6">
        <v>2</v>
      </c>
      <c r="O6">
        <v>0</v>
      </c>
    </row>
    <row r="7" spans="1:16" ht="15" customHeight="1" x14ac:dyDescent="0.4">
      <c r="A7" s="2" t="s">
        <v>291</v>
      </c>
      <c r="B7" t="s">
        <v>221</v>
      </c>
      <c r="C7" t="s">
        <v>82</v>
      </c>
      <c r="D7">
        <v>1</v>
      </c>
      <c r="F7">
        <v>7</v>
      </c>
      <c r="G7">
        <v>1</v>
      </c>
      <c r="H7">
        <v>0</v>
      </c>
      <c r="I7">
        <v>5</v>
      </c>
      <c r="J7">
        <v>0</v>
      </c>
      <c r="K7">
        <v>2</v>
      </c>
      <c r="L7">
        <v>1</v>
      </c>
      <c r="M7">
        <v>0</v>
      </c>
      <c r="N7">
        <v>2</v>
      </c>
      <c r="O7">
        <v>1</v>
      </c>
    </row>
    <row r="8" spans="1:16" ht="15" customHeight="1" x14ac:dyDescent="0.4">
      <c r="A8" s="2" t="s">
        <v>7</v>
      </c>
      <c r="B8" t="s">
        <v>222</v>
      </c>
      <c r="C8" t="s">
        <v>84</v>
      </c>
      <c r="D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ht="15" customHeight="1" x14ac:dyDescent="0.4">
      <c r="A9" s="2" t="s">
        <v>8</v>
      </c>
      <c r="B9" t="s">
        <v>223</v>
      </c>
      <c r="C9" t="s">
        <v>88</v>
      </c>
      <c r="D9">
        <v>1</v>
      </c>
      <c r="F9">
        <v>5</v>
      </c>
      <c r="G9">
        <v>1</v>
      </c>
      <c r="H9">
        <v>0</v>
      </c>
      <c r="I9">
        <v>3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</row>
    <row r="10" spans="1:16" ht="15" customHeight="1" x14ac:dyDescent="0.4">
      <c r="A10" s="2" t="s">
        <v>9</v>
      </c>
      <c r="D10">
        <v>0</v>
      </c>
      <c r="E10" s="2" t="s">
        <v>211</v>
      </c>
      <c r="F10" t="s">
        <v>323</v>
      </c>
      <c r="G10" t="s">
        <v>323</v>
      </c>
      <c r="H10" t="s">
        <v>323</v>
      </c>
      <c r="I10" t="s">
        <v>323</v>
      </c>
      <c r="J10" t="s">
        <v>323</v>
      </c>
      <c r="K10" t="s">
        <v>323</v>
      </c>
      <c r="L10" t="s">
        <v>323</v>
      </c>
      <c r="M10" t="s">
        <v>323</v>
      </c>
      <c r="N10" t="s">
        <v>323</v>
      </c>
      <c r="O10" t="s">
        <v>323</v>
      </c>
    </row>
    <row r="11" spans="1:16" ht="15" customHeight="1" x14ac:dyDescent="0.4">
      <c r="A11" s="2" t="s">
        <v>10</v>
      </c>
      <c r="B11" t="s">
        <v>224</v>
      </c>
      <c r="C11" t="s">
        <v>99</v>
      </c>
      <c r="D11">
        <v>1</v>
      </c>
      <c r="F11">
        <v>4</v>
      </c>
      <c r="G11">
        <v>1</v>
      </c>
      <c r="H11">
        <v>0</v>
      </c>
      <c r="I11">
        <v>2</v>
      </c>
      <c r="J11">
        <v>0</v>
      </c>
      <c r="K11">
        <v>1</v>
      </c>
      <c r="L11">
        <v>0</v>
      </c>
      <c r="M11">
        <v>0</v>
      </c>
      <c r="N11">
        <v>2</v>
      </c>
      <c r="O11">
        <v>0</v>
      </c>
    </row>
    <row r="12" spans="1:16" ht="15" customHeight="1" x14ac:dyDescent="0.4">
      <c r="A12" s="2" t="s">
        <v>11</v>
      </c>
      <c r="B12" t="s">
        <v>225</v>
      </c>
      <c r="C12" t="s">
        <v>135</v>
      </c>
      <c r="D12">
        <v>1</v>
      </c>
      <c r="F12">
        <v>7</v>
      </c>
      <c r="G12">
        <v>0</v>
      </c>
      <c r="H12">
        <v>0</v>
      </c>
      <c r="I12">
        <v>6</v>
      </c>
      <c r="J12">
        <v>0</v>
      </c>
      <c r="K12">
        <v>2</v>
      </c>
      <c r="L12">
        <v>0</v>
      </c>
      <c r="M12">
        <v>0</v>
      </c>
      <c r="N12">
        <v>4</v>
      </c>
      <c r="O12">
        <v>0</v>
      </c>
    </row>
    <row r="13" spans="1:16" ht="15" customHeight="1" x14ac:dyDescent="0.4">
      <c r="A13" s="2" t="s">
        <v>12</v>
      </c>
      <c r="B13" t="s">
        <v>226</v>
      </c>
      <c r="C13" t="s">
        <v>136</v>
      </c>
      <c r="D13">
        <v>1</v>
      </c>
      <c r="F13">
        <v>13</v>
      </c>
      <c r="G13">
        <v>1</v>
      </c>
      <c r="H13">
        <v>0</v>
      </c>
      <c r="I13">
        <v>11</v>
      </c>
      <c r="J13">
        <v>0</v>
      </c>
      <c r="K13">
        <v>3</v>
      </c>
      <c r="L13">
        <v>1</v>
      </c>
      <c r="M13">
        <v>3</v>
      </c>
      <c r="N13">
        <v>4</v>
      </c>
      <c r="O13">
        <v>1</v>
      </c>
    </row>
    <row r="14" spans="1:16" ht="15" customHeight="1" x14ac:dyDescent="0.4">
      <c r="A14" s="2" t="s">
        <v>13</v>
      </c>
      <c r="B14" t="s">
        <v>227</v>
      </c>
      <c r="C14" t="s">
        <v>145</v>
      </c>
      <c r="D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ht="15" customHeight="1" x14ac:dyDescent="0.4">
      <c r="A15" s="2" t="s">
        <v>14</v>
      </c>
      <c r="B15" t="s">
        <v>228</v>
      </c>
      <c r="C15" t="s">
        <v>159</v>
      </c>
      <c r="D15">
        <v>1</v>
      </c>
      <c r="F15">
        <v>13</v>
      </c>
      <c r="G15">
        <v>4</v>
      </c>
      <c r="H15">
        <v>3</v>
      </c>
      <c r="I15">
        <v>5</v>
      </c>
      <c r="J15">
        <v>2</v>
      </c>
      <c r="K15">
        <v>1</v>
      </c>
      <c r="L15">
        <v>4</v>
      </c>
      <c r="M15">
        <v>3</v>
      </c>
      <c r="N15">
        <v>2</v>
      </c>
      <c r="O15">
        <v>0</v>
      </c>
    </row>
    <row r="16" spans="1:16" ht="15" customHeight="1" x14ac:dyDescent="0.4">
      <c r="A16" s="2" t="s">
        <v>15</v>
      </c>
      <c r="B16" t="s">
        <v>229</v>
      </c>
      <c r="C16" t="s">
        <v>161</v>
      </c>
      <c r="D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ht="15" customHeight="1" x14ac:dyDescent="0.4">
      <c r="A17" s="2" t="s">
        <v>16</v>
      </c>
      <c r="B17" t="s">
        <v>230</v>
      </c>
      <c r="C17" t="s">
        <v>160</v>
      </c>
      <c r="D17">
        <v>1</v>
      </c>
      <c r="F17">
        <v>7</v>
      </c>
      <c r="G17">
        <v>1</v>
      </c>
      <c r="H17">
        <v>0</v>
      </c>
      <c r="I17">
        <v>5</v>
      </c>
      <c r="J17">
        <v>0</v>
      </c>
      <c r="K17">
        <v>0</v>
      </c>
      <c r="L17">
        <v>1</v>
      </c>
      <c r="M17">
        <v>0</v>
      </c>
      <c r="N17">
        <v>5</v>
      </c>
      <c r="O17">
        <v>0</v>
      </c>
    </row>
    <row r="18" spans="1:15" ht="15" customHeight="1" x14ac:dyDescent="0.4">
      <c r="A18" s="2" t="s">
        <v>17</v>
      </c>
      <c r="D18">
        <v>0</v>
      </c>
      <c r="E18" s="2" t="s">
        <v>212</v>
      </c>
      <c r="F18" t="s">
        <v>323</v>
      </c>
      <c r="G18" t="s">
        <v>323</v>
      </c>
      <c r="H18" t="s">
        <v>323</v>
      </c>
      <c r="I18" t="s">
        <v>323</v>
      </c>
      <c r="J18" t="s">
        <v>323</v>
      </c>
      <c r="K18" t="s">
        <v>323</v>
      </c>
      <c r="L18" t="s">
        <v>323</v>
      </c>
      <c r="M18" t="s">
        <v>323</v>
      </c>
      <c r="N18" t="s">
        <v>323</v>
      </c>
      <c r="O18" t="s">
        <v>323</v>
      </c>
    </row>
    <row r="19" spans="1:15" ht="15" customHeight="1" x14ac:dyDescent="0.4">
      <c r="A19" s="2" t="s">
        <v>18</v>
      </c>
      <c r="D19">
        <v>0</v>
      </c>
      <c r="E19" s="2" t="s">
        <v>213</v>
      </c>
      <c r="F19" t="s">
        <v>323</v>
      </c>
      <c r="G19" t="s">
        <v>323</v>
      </c>
      <c r="H19" t="s">
        <v>323</v>
      </c>
      <c r="I19" t="s">
        <v>323</v>
      </c>
      <c r="J19" t="s">
        <v>323</v>
      </c>
      <c r="K19" t="s">
        <v>323</v>
      </c>
      <c r="L19" t="s">
        <v>323</v>
      </c>
      <c r="M19" t="s">
        <v>323</v>
      </c>
      <c r="N19" t="s">
        <v>323</v>
      </c>
      <c r="O19" t="s">
        <v>323</v>
      </c>
    </row>
    <row r="20" spans="1:15" ht="15" customHeight="1" x14ac:dyDescent="0.4">
      <c r="A20" s="2" t="s">
        <v>19</v>
      </c>
      <c r="D20">
        <v>0</v>
      </c>
      <c r="E20" s="2" t="s">
        <v>214</v>
      </c>
      <c r="F20" t="s">
        <v>323</v>
      </c>
      <c r="G20" t="s">
        <v>323</v>
      </c>
      <c r="H20" t="s">
        <v>323</v>
      </c>
      <c r="I20" t="s">
        <v>323</v>
      </c>
      <c r="J20" t="s">
        <v>323</v>
      </c>
      <c r="K20" t="s">
        <v>323</v>
      </c>
      <c r="L20" t="s">
        <v>323</v>
      </c>
      <c r="M20" t="s">
        <v>323</v>
      </c>
      <c r="N20" t="s">
        <v>323</v>
      </c>
      <c r="O20" t="s">
        <v>323</v>
      </c>
    </row>
    <row r="21" spans="1:15" ht="15" customHeight="1" x14ac:dyDescent="0.4">
      <c r="A21" s="2" t="s">
        <v>20</v>
      </c>
      <c r="C21" t="s">
        <v>162</v>
      </c>
      <c r="D21">
        <v>0</v>
      </c>
      <c r="E21" s="2" t="s">
        <v>215</v>
      </c>
      <c r="F21" t="s">
        <v>323</v>
      </c>
      <c r="G21" t="s">
        <v>323</v>
      </c>
      <c r="H21" t="s">
        <v>323</v>
      </c>
      <c r="I21" t="s">
        <v>323</v>
      </c>
      <c r="J21" t="s">
        <v>323</v>
      </c>
      <c r="K21" t="s">
        <v>323</v>
      </c>
      <c r="L21" t="s">
        <v>323</v>
      </c>
      <c r="M21" t="s">
        <v>323</v>
      </c>
      <c r="N21" t="s">
        <v>323</v>
      </c>
      <c r="O21" t="s">
        <v>323</v>
      </c>
    </row>
    <row r="22" spans="1:15" ht="15" customHeight="1" x14ac:dyDescent="0.4">
      <c r="A22" s="2" t="s">
        <v>21</v>
      </c>
      <c r="B22" t="s">
        <v>232</v>
      </c>
      <c r="C22" t="s">
        <v>163</v>
      </c>
      <c r="D22">
        <v>1</v>
      </c>
      <c r="F22">
        <v>2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 ht="15" customHeight="1" x14ac:dyDescent="0.4">
      <c r="A23" s="2" t="s">
        <v>22</v>
      </c>
      <c r="B23" t="s">
        <v>231</v>
      </c>
      <c r="C23" t="s">
        <v>164</v>
      </c>
      <c r="D23">
        <v>1</v>
      </c>
      <c r="F23">
        <v>4</v>
      </c>
      <c r="G23">
        <v>0</v>
      </c>
      <c r="H23">
        <v>0</v>
      </c>
      <c r="I23">
        <v>3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</row>
    <row r="24" spans="1:15" ht="15" customHeight="1" thickBot="1" x14ac:dyDescent="0.45">
      <c r="A24" s="2" t="s">
        <v>23</v>
      </c>
      <c r="B24" t="s">
        <v>233</v>
      </c>
      <c r="C24" t="s">
        <v>165</v>
      </c>
      <c r="D24">
        <v>1</v>
      </c>
      <c r="F24">
        <v>4</v>
      </c>
      <c r="G24">
        <v>0</v>
      </c>
      <c r="H24">
        <v>0</v>
      </c>
      <c r="I24">
        <v>3</v>
      </c>
      <c r="J24">
        <v>0</v>
      </c>
      <c r="K24">
        <v>0</v>
      </c>
      <c r="L24">
        <v>0</v>
      </c>
      <c r="M24">
        <v>1</v>
      </c>
      <c r="N24">
        <v>2</v>
      </c>
      <c r="O24">
        <v>0</v>
      </c>
    </row>
    <row r="25" spans="1:15" ht="15" customHeight="1" thickTop="1" x14ac:dyDescent="0.4">
      <c r="A25" s="6" t="s">
        <v>325</v>
      </c>
      <c r="B25" s="6"/>
      <c r="C25" s="6"/>
      <c r="D25" s="6"/>
      <c r="E25" s="6"/>
      <c r="F25" s="6">
        <f t="shared" ref="F25:O25" si="0">SUM(F2:F24)</f>
        <v>93</v>
      </c>
      <c r="G25" s="6">
        <f t="shared" si="0"/>
        <v>15</v>
      </c>
      <c r="H25" s="6">
        <f t="shared" si="0"/>
        <v>6</v>
      </c>
      <c r="I25" s="6">
        <f t="shared" si="0"/>
        <v>56</v>
      </c>
      <c r="J25" s="6">
        <f t="shared" si="0"/>
        <v>4</v>
      </c>
      <c r="K25" s="10">
        <f t="shared" si="0"/>
        <v>16</v>
      </c>
      <c r="L25" s="6">
        <f t="shared" si="0"/>
        <v>16</v>
      </c>
      <c r="M25" s="6">
        <f t="shared" si="0"/>
        <v>12</v>
      </c>
      <c r="N25" s="6">
        <f t="shared" si="0"/>
        <v>25</v>
      </c>
      <c r="O25" s="6">
        <f t="shared" si="0"/>
        <v>3</v>
      </c>
    </row>
  </sheetData>
  <hyperlinks>
    <hyperlink ref="C3" r:id="rId1" xr:uid="{15D67186-7692-4A2C-B6F9-3C5A798C1D6C}"/>
    <hyperlink ref="C6" r:id="rId2" xr:uid="{2502CF59-512E-4F59-A73D-083723AD3610}"/>
    <hyperlink ref="C7" r:id="rId3" xr:uid="{2EAF8D8C-C494-42C7-AC87-7597A8E1E703}"/>
    <hyperlink ref="C9" r:id="rId4" xr:uid="{48F3B057-0EAE-41DF-BFBC-C53CFB798D8F}"/>
    <hyperlink ref="C14" r:id="rId5" xr:uid="{0D89BDDA-B436-4381-8E4A-8D746D678AAB}"/>
    <hyperlink ref="C15" r:id="rId6" xr:uid="{8991AFE0-AABA-4CA6-8808-66917B3F1CA2}"/>
    <hyperlink ref="C16" r:id="rId7" xr:uid="{18A4B573-8128-4AD4-A927-2F7AE9456161}"/>
    <hyperlink ref="C17" r:id="rId8" xr:uid="{382AF90A-208A-41A5-8DBA-932726FDF328}"/>
    <hyperlink ref="C21" r:id="rId9" xr:uid="{6F311DF6-7C3F-417D-9758-E4C55A521A5C}"/>
    <hyperlink ref="C22" r:id="rId10" xr:uid="{E999AED6-AF84-4EB7-B0E6-D53CD911C787}"/>
    <hyperlink ref="C23" r:id="rId11" xr:uid="{AFA2D540-3BD5-475E-8B37-028E01A406A1}"/>
    <hyperlink ref="C24" r:id="rId12" xr:uid="{B5B40B71-7B42-4B31-95B8-D575569DB4B7}"/>
    <hyperlink ref="C2" r:id="rId13" xr:uid="{77923400-85E8-4F4D-962F-3A2AC090905E}"/>
    <hyperlink ref="C13" r:id="rId14" xr:uid="{4F7556C4-7EDD-4999-BFA2-ACE899B51F18}"/>
  </hyperlinks>
  <pageMargins left="0.7" right="0.7" top="0.78740157499999996" bottom="0.78740157499999996" header="0.3" footer="0.3"/>
  <pageSetup paperSize="9"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6F00-5FAC-4ED5-A20C-3A18F4CAB028}">
  <dimension ref="A1:H2"/>
  <sheetViews>
    <sheetView workbookViewId="0">
      <pane ySplit="1" topLeftCell="A2" activePane="bottomLeft" state="frozen"/>
      <selection activeCell="E38" sqref="E38"/>
      <selection pane="bottomLeft" activeCell="B2" sqref="B2:B18"/>
    </sheetView>
  </sheetViews>
  <sheetFormatPr baseColWidth="10" defaultColWidth="11.3828125" defaultRowHeight="14.6" x14ac:dyDescent="0.4"/>
  <cols>
    <col min="1" max="1" width="2.69140625" bestFit="1" customWidth="1"/>
    <col min="2" max="2" width="35.15234375" bestFit="1" customWidth="1"/>
    <col min="3" max="3" width="7.69140625" bestFit="1" customWidth="1"/>
    <col min="4" max="4" width="10.15234375" bestFit="1" customWidth="1"/>
    <col min="5" max="5" width="9.3046875" bestFit="1" customWidth="1"/>
    <col min="6" max="6" width="8.84375" bestFit="1" customWidth="1"/>
    <col min="7" max="7" width="15" bestFit="1" customWidth="1"/>
    <col min="8" max="8" width="16.84375" bestFit="1" customWidth="1"/>
    <col min="9" max="9" width="23.15234375" customWidth="1"/>
  </cols>
  <sheetData>
    <row r="1" spans="1:8" s="3" customFormat="1" x14ac:dyDescent="0.4">
      <c r="A1" s="3" t="s">
        <v>33</v>
      </c>
      <c r="B1" s="3" t="s">
        <v>36</v>
      </c>
      <c r="C1" s="3" t="s">
        <v>206</v>
      </c>
      <c r="D1" s="3" t="s">
        <v>30</v>
      </c>
      <c r="E1" s="3" t="s">
        <v>37</v>
      </c>
      <c r="F1" s="3" t="s">
        <v>40</v>
      </c>
      <c r="G1" s="3" t="s">
        <v>44</v>
      </c>
      <c r="H1" s="3" t="s">
        <v>38</v>
      </c>
    </row>
    <row r="2" spans="1:8" x14ac:dyDescent="0.4">
      <c r="A2">
        <v>1</v>
      </c>
      <c r="B2" t="s">
        <v>29</v>
      </c>
      <c r="C2">
        <v>9</v>
      </c>
      <c r="D2" s="5">
        <v>45985</v>
      </c>
      <c r="E2">
        <v>1</v>
      </c>
      <c r="F2" t="s">
        <v>41</v>
      </c>
    </row>
  </sheetData>
  <hyperlinks>
    <hyperlink ref="B2" r:id="rId1" xr:uid="{252634CB-992F-4559-8DED-DBFEC7D85FC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0A56-2430-42B1-87A9-CBE952652B5B}">
  <dimension ref="A1:I10"/>
  <sheetViews>
    <sheetView workbookViewId="0">
      <selection activeCell="J16" sqref="J16"/>
    </sheetView>
  </sheetViews>
  <sheetFormatPr baseColWidth="10" defaultColWidth="15.3828125" defaultRowHeight="14.6" x14ac:dyDescent="0.4"/>
  <cols>
    <col min="1" max="1" width="2.69140625" bestFit="1" customWidth="1"/>
    <col min="2" max="2" width="39.382812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31.69140625" bestFit="1" customWidth="1"/>
    <col min="8" max="8" width="15" bestFit="1" customWidth="1"/>
    <col min="9" max="9" width="20.8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256</v>
      </c>
      <c r="C2">
        <v>8</v>
      </c>
      <c r="D2">
        <v>4</v>
      </c>
      <c r="E2" s="5">
        <v>46007</v>
      </c>
      <c r="F2">
        <v>0</v>
      </c>
      <c r="H2" t="s">
        <v>45</v>
      </c>
      <c r="I2" t="s">
        <v>98</v>
      </c>
    </row>
    <row r="3" spans="1:9" x14ac:dyDescent="0.4">
      <c r="A3">
        <v>2</v>
      </c>
      <c r="B3" t="s">
        <v>255</v>
      </c>
      <c r="C3">
        <v>8</v>
      </c>
      <c r="D3">
        <v>4</v>
      </c>
      <c r="E3" s="5">
        <v>46007</v>
      </c>
      <c r="F3">
        <v>0</v>
      </c>
      <c r="H3" t="s">
        <v>43</v>
      </c>
      <c r="I3" t="s">
        <v>55</v>
      </c>
    </row>
    <row r="4" spans="1:9" x14ac:dyDescent="0.4">
      <c r="A4">
        <v>3</v>
      </c>
      <c r="B4" t="s">
        <v>254</v>
      </c>
      <c r="C4">
        <v>8</v>
      </c>
      <c r="D4">
        <v>4</v>
      </c>
      <c r="E4" s="5">
        <v>46007</v>
      </c>
      <c r="F4">
        <v>0</v>
      </c>
      <c r="H4" t="s">
        <v>46</v>
      </c>
      <c r="I4" t="s">
        <v>55</v>
      </c>
    </row>
    <row r="5" spans="1:9" x14ac:dyDescent="0.4">
      <c r="A5">
        <v>4</v>
      </c>
      <c r="B5" t="s">
        <v>253</v>
      </c>
      <c r="C5">
        <v>8</v>
      </c>
      <c r="D5">
        <v>4</v>
      </c>
      <c r="E5" s="5">
        <v>46007</v>
      </c>
      <c r="F5">
        <v>0</v>
      </c>
      <c r="H5" t="s">
        <v>46</v>
      </c>
      <c r="I5" t="s">
        <v>234</v>
      </c>
    </row>
    <row r="6" spans="1:9" x14ac:dyDescent="0.4">
      <c r="A6">
        <v>5</v>
      </c>
      <c r="B6" t="s">
        <v>50</v>
      </c>
      <c r="C6">
        <v>8</v>
      </c>
      <c r="D6">
        <v>4</v>
      </c>
      <c r="E6" s="5">
        <v>45985</v>
      </c>
      <c r="F6">
        <v>0</v>
      </c>
      <c r="G6" t="s">
        <v>51</v>
      </c>
      <c r="H6" t="s">
        <v>43</v>
      </c>
      <c r="I6" t="s">
        <v>47</v>
      </c>
    </row>
    <row r="7" spans="1:9" x14ac:dyDescent="0.4">
      <c r="A7">
        <v>6</v>
      </c>
      <c r="B7" t="s">
        <v>52</v>
      </c>
      <c r="C7">
        <v>8</v>
      </c>
      <c r="D7">
        <v>4</v>
      </c>
      <c r="E7" s="5">
        <v>45986</v>
      </c>
      <c r="F7">
        <v>0</v>
      </c>
      <c r="G7" t="s">
        <v>53</v>
      </c>
      <c r="H7" t="s">
        <v>43</v>
      </c>
      <c r="I7" t="s">
        <v>49</v>
      </c>
    </row>
    <row r="8" spans="1:9" x14ac:dyDescent="0.4">
      <c r="A8">
        <v>7</v>
      </c>
      <c r="B8" t="s">
        <v>54</v>
      </c>
      <c r="C8">
        <v>8</v>
      </c>
      <c r="D8">
        <v>4</v>
      </c>
      <c r="E8" s="5">
        <v>45986</v>
      </c>
      <c r="F8">
        <v>0</v>
      </c>
      <c r="H8" t="s">
        <v>46</v>
      </c>
      <c r="I8" t="s">
        <v>55</v>
      </c>
    </row>
    <row r="9" spans="1:9" x14ac:dyDescent="0.4">
      <c r="A9">
        <v>8</v>
      </c>
      <c r="B9" t="s">
        <v>56</v>
      </c>
      <c r="C9">
        <v>8</v>
      </c>
      <c r="D9">
        <v>4</v>
      </c>
      <c r="E9" s="5">
        <v>45986</v>
      </c>
      <c r="F9">
        <v>0</v>
      </c>
      <c r="H9" t="s">
        <v>45</v>
      </c>
      <c r="I9" t="s">
        <v>42</v>
      </c>
    </row>
    <row r="10" spans="1:9" x14ac:dyDescent="0.4">
      <c r="A10">
        <v>9</v>
      </c>
      <c r="B10" t="s">
        <v>57</v>
      </c>
      <c r="C10">
        <v>8</v>
      </c>
      <c r="D10">
        <v>4</v>
      </c>
      <c r="E10" s="5">
        <v>45986</v>
      </c>
      <c r="F10" s="7">
        <v>1</v>
      </c>
      <c r="G10" t="s">
        <v>259</v>
      </c>
      <c r="H10" s="8" t="s">
        <v>45</v>
      </c>
      <c r="I10" s="8" t="s">
        <v>47</v>
      </c>
    </row>
  </sheetData>
  <phoneticPr fontId="3" type="noConversion"/>
  <hyperlinks>
    <hyperlink ref="B6" r:id="rId1" xr:uid="{10FFD29C-754B-4D37-ADE3-208B23E9E9A5}"/>
    <hyperlink ref="B10" r:id="rId2" xr:uid="{79F2FC8D-8BE7-4F80-860E-467617C31167}"/>
    <hyperlink ref="B3" r:id="rId3" xr:uid="{9F63307A-0C73-4207-917D-643600FA253A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2C1A-5E94-4B78-90A3-1416FECA8A44}">
  <dimension ref="A1:I5"/>
  <sheetViews>
    <sheetView workbookViewId="0">
      <selection activeCell="G4" sqref="G4"/>
    </sheetView>
  </sheetViews>
  <sheetFormatPr baseColWidth="10" defaultColWidth="7.15234375" defaultRowHeight="14.6" x14ac:dyDescent="0.4"/>
  <cols>
    <col min="1" max="1" width="2.69140625" bestFit="1" customWidth="1"/>
    <col min="2" max="2" width="39.382812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46.53515625" bestFit="1" customWidth="1"/>
    <col min="8" max="8" width="15" bestFit="1" customWidth="1"/>
    <col min="9" max="9" width="66.8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249</v>
      </c>
      <c r="C2">
        <v>46</v>
      </c>
      <c r="D2" t="s">
        <v>248</v>
      </c>
      <c r="E2" s="5">
        <v>46007</v>
      </c>
      <c r="F2">
        <v>0</v>
      </c>
      <c r="H2" t="s">
        <v>45</v>
      </c>
      <c r="I2" t="s">
        <v>32</v>
      </c>
    </row>
    <row r="3" spans="1:9" x14ac:dyDescent="0.4">
      <c r="A3">
        <v>2</v>
      </c>
      <c r="B3" t="s">
        <v>250</v>
      </c>
      <c r="C3">
        <v>46</v>
      </c>
      <c r="D3" t="s">
        <v>247</v>
      </c>
      <c r="E3" s="5">
        <v>46007</v>
      </c>
      <c r="F3">
        <v>0</v>
      </c>
      <c r="H3" t="s">
        <v>45</v>
      </c>
      <c r="I3" t="s">
        <v>32</v>
      </c>
    </row>
    <row r="4" spans="1:9" x14ac:dyDescent="0.4">
      <c r="A4">
        <v>3</v>
      </c>
      <c r="B4" t="s">
        <v>251</v>
      </c>
      <c r="C4">
        <v>46</v>
      </c>
      <c r="D4" t="s">
        <v>246</v>
      </c>
      <c r="E4" s="5">
        <v>46007</v>
      </c>
      <c r="F4">
        <v>0</v>
      </c>
      <c r="H4" t="s">
        <v>45</v>
      </c>
      <c r="I4" t="s">
        <v>47</v>
      </c>
    </row>
    <row r="5" spans="1:9" x14ac:dyDescent="0.4">
      <c r="A5">
        <v>4</v>
      </c>
      <c r="B5" t="s">
        <v>252</v>
      </c>
      <c r="C5">
        <v>46</v>
      </c>
      <c r="D5" t="s">
        <v>245</v>
      </c>
      <c r="E5" s="5">
        <v>46007</v>
      </c>
      <c r="F5">
        <v>1</v>
      </c>
      <c r="G5" t="s">
        <v>306</v>
      </c>
    </row>
  </sheetData>
  <phoneticPr fontId="3" type="noConversion"/>
  <hyperlinks>
    <hyperlink ref="B4" r:id="rId1" xr:uid="{A99A2CF5-A879-4228-BD7F-77A7A72FAB82}"/>
    <hyperlink ref="B5" r:id="rId2" xr:uid="{1C2DE0B3-16AC-4791-89B2-340DEFD58852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14E9-C17B-42BC-8C16-AC9649378FAF}">
  <dimension ref="A1:I11"/>
  <sheetViews>
    <sheetView workbookViewId="0">
      <pane ySplit="1" topLeftCell="A2" activePane="bottomLeft" state="frozen"/>
      <selection activeCell="E38" sqref="E38"/>
      <selection pane="bottomLeft" activeCell="I8" sqref="I8"/>
    </sheetView>
  </sheetViews>
  <sheetFormatPr baseColWidth="10" defaultColWidth="11.3828125" defaultRowHeight="14.6" x14ac:dyDescent="0.4"/>
  <cols>
    <col min="1" max="1" width="3" bestFit="1" customWidth="1"/>
    <col min="2" max="2" width="39.382812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33.53515625" bestFit="1" customWidth="1"/>
    <col min="8" max="8" width="11.15234375" bestFit="1" customWidth="1"/>
    <col min="9" max="9" width="14.691406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70</v>
      </c>
      <c r="C2">
        <v>13</v>
      </c>
      <c r="D2">
        <v>6</v>
      </c>
      <c r="E2" s="5">
        <v>45988</v>
      </c>
      <c r="F2">
        <v>0</v>
      </c>
      <c r="H2" t="s">
        <v>46</v>
      </c>
      <c r="I2" t="s">
        <v>58</v>
      </c>
    </row>
    <row r="3" spans="1:9" x14ac:dyDescent="0.4">
      <c r="A3">
        <v>2</v>
      </c>
      <c r="B3" t="s">
        <v>71</v>
      </c>
      <c r="C3">
        <v>13</v>
      </c>
      <c r="D3">
        <v>6</v>
      </c>
      <c r="E3" s="5">
        <v>45988</v>
      </c>
      <c r="F3">
        <v>0</v>
      </c>
      <c r="H3" t="s">
        <v>46</v>
      </c>
      <c r="I3" t="s">
        <v>48</v>
      </c>
    </row>
    <row r="4" spans="1:9" x14ac:dyDescent="0.4">
      <c r="A4">
        <v>3</v>
      </c>
      <c r="B4" t="s">
        <v>72</v>
      </c>
      <c r="C4">
        <v>13</v>
      </c>
      <c r="D4">
        <v>6</v>
      </c>
      <c r="E4" s="5">
        <v>45988</v>
      </c>
      <c r="F4">
        <v>0</v>
      </c>
      <c r="G4" t="s">
        <v>73</v>
      </c>
      <c r="H4" t="s">
        <v>45</v>
      </c>
      <c r="I4" t="s">
        <v>201</v>
      </c>
    </row>
    <row r="5" spans="1:9" x14ac:dyDescent="0.4">
      <c r="A5">
        <v>4</v>
      </c>
      <c r="B5" t="s">
        <v>74</v>
      </c>
      <c r="C5">
        <v>13</v>
      </c>
      <c r="D5">
        <v>6</v>
      </c>
      <c r="E5" s="5">
        <v>45988</v>
      </c>
      <c r="F5">
        <v>0</v>
      </c>
      <c r="G5" t="s">
        <v>75</v>
      </c>
      <c r="H5" t="s">
        <v>45</v>
      </c>
      <c r="I5" t="s">
        <v>47</v>
      </c>
    </row>
    <row r="6" spans="1:9" x14ac:dyDescent="0.4">
      <c r="A6">
        <v>5</v>
      </c>
      <c r="B6" t="s">
        <v>77</v>
      </c>
      <c r="C6">
        <v>13</v>
      </c>
      <c r="D6">
        <v>6</v>
      </c>
      <c r="E6" s="5">
        <v>45988</v>
      </c>
      <c r="F6">
        <v>0</v>
      </c>
      <c r="G6" t="s">
        <v>76</v>
      </c>
      <c r="H6" t="s">
        <v>45</v>
      </c>
      <c r="I6" t="s">
        <v>148</v>
      </c>
    </row>
    <row r="7" spans="1:9" x14ac:dyDescent="0.4">
      <c r="A7">
        <v>6</v>
      </c>
      <c r="B7" t="s">
        <v>79</v>
      </c>
      <c r="C7">
        <v>13</v>
      </c>
      <c r="D7">
        <v>6</v>
      </c>
      <c r="E7" s="5">
        <v>45988</v>
      </c>
      <c r="F7">
        <v>0</v>
      </c>
      <c r="G7" t="s">
        <v>78</v>
      </c>
      <c r="H7" t="s">
        <v>45</v>
      </c>
      <c r="I7" t="s">
        <v>260</v>
      </c>
    </row>
    <row r="8" spans="1:9" x14ac:dyDescent="0.4">
      <c r="A8">
        <v>7</v>
      </c>
      <c r="B8" t="s">
        <v>80</v>
      </c>
      <c r="C8">
        <v>13</v>
      </c>
      <c r="D8">
        <v>6</v>
      </c>
      <c r="E8" s="5">
        <v>45988</v>
      </c>
      <c r="F8">
        <v>0</v>
      </c>
      <c r="G8" t="s">
        <v>81</v>
      </c>
      <c r="H8" t="s">
        <v>45</v>
      </c>
      <c r="I8" t="s">
        <v>47</v>
      </c>
    </row>
    <row r="9" spans="1:9" x14ac:dyDescent="0.4">
      <c r="A9">
        <v>8</v>
      </c>
      <c r="B9" t="s">
        <v>65</v>
      </c>
      <c r="C9">
        <v>13</v>
      </c>
      <c r="D9">
        <v>5</v>
      </c>
      <c r="E9" s="5">
        <v>45988</v>
      </c>
      <c r="F9">
        <v>0</v>
      </c>
      <c r="H9" t="s">
        <v>46</v>
      </c>
      <c r="I9" t="s">
        <v>48</v>
      </c>
    </row>
    <row r="10" spans="1:9" x14ac:dyDescent="0.4">
      <c r="A10">
        <v>9</v>
      </c>
      <c r="B10" t="s">
        <v>66</v>
      </c>
      <c r="C10">
        <v>13</v>
      </c>
      <c r="D10">
        <v>5</v>
      </c>
      <c r="E10" s="5">
        <v>45988</v>
      </c>
      <c r="F10">
        <v>0</v>
      </c>
      <c r="G10" t="s">
        <v>59</v>
      </c>
      <c r="H10" t="s">
        <v>45</v>
      </c>
      <c r="I10" t="s">
        <v>32</v>
      </c>
    </row>
    <row r="11" spans="1:9" x14ac:dyDescent="0.4">
      <c r="A11">
        <v>10</v>
      </c>
      <c r="B11" t="s">
        <v>68</v>
      </c>
      <c r="C11">
        <v>13</v>
      </c>
      <c r="D11">
        <v>5</v>
      </c>
      <c r="E11" s="5">
        <v>45988</v>
      </c>
      <c r="F11">
        <v>1</v>
      </c>
      <c r="G11" t="s">
        <v>67</v>
      </c>
    </row>
  </sheetData>
  <phoneticPr fontId="3" type="noConversion"/>
  <hyperlinks>
    <hyperlink ref="B2" r:id="rId1" xr:uid="{E2E84A81-5151-4DBA-8552-39F8921BAAD1}"/>
    <hyperlink ref="B4" r:id="rId2" xr:uid="{D8D36709-A859-49A8-AAB8-50A9C26BC5FF}"/>
    <hyperlink ref="B5" r:id="rId3" xr:uid="{36B6363A-6D90-41AB-A5EC-CFA0C6DE4FC3}"/>
    <hyperlink ref="B6" r:id="rId4" xr:uid="{64C359D5-5BB2-4AE4-9871-3F50EB185969}"/>
    <hyperlink ref="B7" r:id="rId5" xr:uid="{41E5FBDD-3D9F-44E5-AA5B-35BA9CE7BCA8}"/>
    <hyperlink ref="B8" r:id="rId6" xr:uid="{208FDA4D-1364-474B-9B92-E9058FC0A32A}"/>
    <hyperlink ref="B10" r:id="rId7" xr:uid="{3151C8E8-A619-437B-812C-3A2E020E110F}"/>
    <hyperlink ref="B11" r:id="rId8" xr:uid="{2C493492-ABEB-432D-AB9F-2A10586D5DD4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321C-2985-4AA1-8942-FEF0AA4B4AA0}">
  <dimension ref="A1:I8"/>
  <sheetViews>
    <sheetView workbookViewId="0">
      <pane ySplit="1" topLeftCell="A2" activePane="bottomLeft" state="frozen"/>
      <selection activeCell="E38" sqref="E38"/>
      <selection pane="bottomLeft" activeCell="I2" sqref="I2"/>
    </sheetView>
  </sheetViews>
  <sheetFormatPr baseColWidth="10" defaultColWidth="40.53515625" defaultRowHeight="14.6" x14ac:dyDescent="0.4"/>
  <cols>
    <col min="1" max="1" width="2.69140625" bestFit="1" customWidth="1"/>
    <col min="2" max="2" width="36.30468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47.53515625" bestFit="1" customWidth="1"/>
    <col min="8" max="8" width="55.53515625" bestFit="1" customWidth="1"/>
    <col min="9" max="9" width="29.1523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s="3" customFormat="1" x14ac:dyDescent="0.4">
      <c r="A2">
        <v>1</v>
      </c>
      <c r="B2" t="s">
        <v>241</v>
      </c>
      <c r="C2">
        <v>11</v>
      </c>
      <c r="D2">
        <v>1</v>
      </c>
      <c r="E2" s="5">
        <v>46007</v>
      </c>
      <c r="F2">
        <v>0</v>
      </c>
      <c r="G2" t="s">
        <v>242</v>
      </c>
      <c r="H2" t="s">
        <v>45</v>
      </c>
      <c r="I2" t="s">
        <v>302</v>
      </c>
    </row>
    <row r="3" spans="1:9" s="3" customFormat="1" x14ac:dyDescent="0.4">
      <c r="A3">
        <v>2</v>
      </c>
      <c r="B3" t="s">
        <v>240</v>
      </c>
      <c r="C3">
        <v>11</v>
      </c>
      <c r="D3">
        <v>1</v>
      </c>
      <c r="E3" s="5">
        <v>46007</v>
      </c>
      <c r="F3">
        <v>0</v>
      </c>
      <c r="G3"/>
      <c r="H3" t="s">
        <v>45</v>
      </c>
      <c r="I3" t="s">
        <v>167</v>
      </c>
    </row>
    <row r="4" spans="1:9" s="3" customFormat="1" x14ac:dyDescent="0.4">
      <c r="A4">
        <v>3</v>
      </c>
      <c r="B4" t="s">
        <v>239</v>
      </c>
      <c r="C4">
        <v>11</v>
      </c>
      <c r="D4">
        <v>1</v>
      </c>
      <c r="E4" s="5">
        <v>46007</v>
      </c>
      <c r="F4">
        <v>0</v>
      </c>
      <c r="G4"/>
      <c r="H4" t="s">
        <v>46</v>
      </c>
      <c r="I4" t="s">
        <v>243</v>
      </c>
    </row>
    <row r="5" spans="1:9" s="3" customFormat="1" x14ac:dyDescent="0.4">
      <c r="A5">
        <v>4</v>
      </c>
      <c r="B5" t="s">
        <v>238</v>
      </c>
      <c r="C5">
        <v>11</v>
      </c>
      <c r="D5">
        <v>1</v>
      </c>
      <c r="E5" s="5">
        <v>46007</v>
      </c>
      <c r="F5">
        <v>0</v>
      </c>
      <c r="G5"/>
      <c r="H5" t="s">
        <v>45</v>
      </c>
      <c r="I5" t="s">
        <v>244</v>
      </c>
    </row>
    <row r="6" spans="1:9" s="3" customFormat="1" x14ac:dyDescent="0.4">
      <c r="A6">
        <v>5</v>
      </c>
      <c r="B6" t="s">
        <v>237</v>
      </c>
      <c r="C6">
        <v>11</v>
      </c>
      <c r="D6">
        <v>1</v>
      </c>
      <c r="E6" s="5">
        <v>46007</v>
      </c>
      <c r="F6">
        <v>0</v>
      </c>
      <c r="G6" t="s">
        <v>303</v>
      </c>
      <c r="H6" t="s">
        <v>45</v>
      </c>
      <c r="I6" t="s">
        <v>47</v>
      </c>
    </row>
    <row r="7" spans="1:9" s="3" customFormat="1" x14ac:dyDescent="0.4">
      <c r="A7">
        <v>6</v>
      </c>
      <c r="B7" t="s">
        <v>236</v>
      </c>
      <c r="C7">
        <v>11</v>
      </c>
      <c r="D7">
        <v>1</v>
      </c>
      <c r="E7" s="5">
        <v>46007</v>
      </c>
      <c r="F7">
        <v>0</v>
      </c>
      <c r="G7" t="s">
        <v>304</v>
      </c>
      <c r="H7" t="s">
        <v>45</v>
      </c>
      <c r="I7" t="s">
        <v>47</v>
      </c>
    </row>
    <row r="8" spans="1:9" s="3" customFormat="1" x14ac:dyDescent="0.4">
      <c r="A8">
        <v>7</v>
      </c>
      <c r="B8" t="s">
        <v>235</v>
      </c>
      <c r="C8">
        <v>11</v>
      </c>
      <c r="D8">
        <v>1</v>
      </c>
      <c r="E8" s="5">
        <v>46050</v>
      </c>
      <c r="F8">
        <v>1</v>
      </c>
      <c r="G8" t="s">
        <v>305</v>
      </c>
      <c r="H8"/>
      <c r="I8"/>
    </row>
  </sheetData>
  <hyperlinks>
    <hyperlink ref="B7" r:id="rId1" xr:uid="{FBFFC864-03D5-4B2A-8BB6-41E24886BE0D}"/>
    <hyperlink ref="B2" r:id="rId2" xr:uid="{F7C09197-A173-446B-A4FF-9DFE44E6077F}"/>
    <hyperlink ref="B3" r:id="rId3" xr:uid="{B418B8E3-92DC-432C-B98C-B7C1E97D8B59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43F0-35FF-4547-A1BA-BC7D66994B3A}">
  <dimension ref="A1:I2"/>
  <sheetViews>
    <sheetView workbookViewId="0">
      <selection activeCell="C20" sqref="C20"/>
    </sheetView>
  </sheetViews>
  <sheetFormatPr baseColWidth="10" defaultColWidth="11.3828125" defaultRowHeight="14.6" x14ac:dyDescent="0.4"/>
  <cols>
    <col min="1" max="1" width="2.69140625" bestFit="1" customWidth="1"/>
    <col min="2" max="2" width="42.69140625" bestFit="1" customWidth="1"/>
    <col min="3" max="3" width="12.3828125" bestFit="1" customWidth="1"/>
    <col min="4" max="4" width="5.84375" bestFit="1" customWidth="1"/>
    <col min="5" max="5" width="5" bestFit="1" customWidth="1"/>
    <col min="6" max="6" width="9.3046875" bestFit="1" customWidth="1"/>
    <col min="7" max="7" width="24" bestFit="1" customWidth="1"/>
    <col min="8" max="8" width="11.15234375" bestFit="1" customWidth="1"/>
    <col min="9" max="9" width="11.30468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85</v>
      </c>
      <c r="C2" t="s">
        <v>86</v>
      </c>
      <c r="F2">
        <v>1</v>
      </c>
      <c r="G2" t="s">
        <v>87</v>
      </c>
    </row>
  </sheetData>
  <hyperlinks>
    <hyperlink ref="B2" r:id="rId1" xr:uid="{A19CD390-9CD7-452C-82A1-3CBAE90A67A8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6FCE-EBF8-4FD6-8D9B-D11EEFF44048}">
  <dimension ref="A1:I6"/>
  <sheetViews>
    <sheetView workbookViewId="0">
      <selection activeCell="I2" sqref="I2"/>
    </sheetView>
  </sheetViews>
  <sheetFormatPr baseColWidth="10" defaultColWidth="11.3828125" defaultRowHeight="14.6" x14ac:dyDescent="0.4"/>
  <cols>
    <col min="1" max="1" width="2.69140625" bestFit="1" customWidth="1"/>
    <col min="2" max="2" width="39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102.3828125" bestFit="1" customWidth="1"/>
    <col min="8" max="8" width="11.15234375" bestFit="1" customWidth="1"/>
    <col min="9" max="9" width="15.535156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89</v>
      </c>
      <c r="C2">
        <v>72</v>
      </c>
      <c r="D2">
        <v>3</v>
      </c>
      <c r="E2" s="5">
        <v>45989</v>
      </c>
      <c r="F2">
        <v>0</v>
      </c>
      <c r="H2" t="s">
        <v>46</v>
      </c>
      <c r="I2" t="s">
        <v>90</v>
      </c>
    </row>
    <row r="3" spans="1:9" x14ac:dyDescent="0.4">
      <c r="A3">
        <v>2</v>
      </c>
      <c r="B3" t="s">
        <v>91</v>
      </c>
      <c r="C3">
        <v>72</v>
      </c>
      <c r="D3">
        <v>3</v>
      </c>
      <c r="E3" s="5">
        <v>45989</v>
      </c>
      <c r="F3">
        <v>0</v>
      </c>
      <c r="G3" t="s">
        <v>92</v>
      </c>
      <c r="H3" t="s">
        <v>45</v>
      </c>
      <c r="I3" t="s">
        <v>289</v>
      </c>
    </row>
    <row r="4" spans="1:9" x14ac:dyDescent="0.4">
      <c r="A4">
        <v>3</v>
      </c>
      <c r="B4" t="s">
        <v>93</v>
      </c>
      <c r="C4">
        <v>72</v>
      </c>
      <c r="D4">
        <v>3</v>
      </c>
      <c r="E4" s="5">
        <v>45989</v>
      </c>
      <c r="F4">
        <v>0</v>
      </c>
      <c r="G4" t="s">
        <v>290</v>
      </c>
      <c r="H4" t="s">
        <v>45</v>
      </c>
      <c r="I4" t="s">
        <v>47</v>
      </c>
    </row>
    <row r="5" spans="1:9" x14ac:dyDescent="0.4">
      <c r="A5">
        <v>4</v>
      </c>
      <c r="B5" t="s">
        <v>94</v>
      </c>
      <c r="C5">
        <v>72</v>
      </c>
      <c r="D5">
        <v>3</v>
      </c>
      <c r="E5" s="5">
        <v>45992</v>
      </c>
      <c r="F5">
        <v>0</v>
      </c>
      <c r="H5" t="s">
        <v>45</v>
      </c>
      <c r="I5" t="s">
        <v>95</v>
      </c>
    </row>
    <row r="6" spans="1:9" x14ac:dyDescent="0.4">
      <c r="A6">
        <v>5</v>
      </c>
      <c r="B6" t="s">
        <v>96</v>
      </c>
      <c r="C6">
        <v>72</v>
      </c>
      <c r="D6">
        <v>3</v>
      </c>
      <c r="E6" s="5">
        <v>45992</v>
      </c>
      <c r="F6">
        <v>1</v>
      </c>
      <c r="G6" t="s">
        <v>97</v>
      </c>
    </row>
  </sheetData>
  <hyperlinks>
    <hyperlink ref="B3" r:id="rId1" xr:uid="{46121B63-A8C2-40FC-AA64-7EBA42635E63}"/>
    <hyperlink ref="B4" r:id="rId2" xr:uid="{A3A908C7-82BC-4C16-A8A8-B0997B631055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2483-B1B5-427C-9757-25ED7C053D80}">
  <dimension ref="A1:I5"/>
  <sheetViews>
    <sheetView workbookViewId="0">
      <pane ySplit="1" topLeftCell="A2" activePane="bottomLeft" state="frozen"/>
      <selection activeCell="E38" sqref="E38"/>
      <selection pane="bottomLeft" activeCell="E38" sqref="E38"/>
    </sheetView>
  </sheetViews>
  <sheetFormatPr baseColWidth="10" defaultColWidth="11.3828125" defaultRowHeight="14.6" x14ac:dyDescent="0.4"/>
  <cols>
    <col min="1" max="1" width="2.69140625" bestFit="1" customWidth="1"/>
    <col min="2" max="2" width="30.84375" bestFit="1" customWidth="1"/>
    <col min="3" max="3" width="7.69140625" bestFit="1" customWidth="1"/>
    <col min="4" max="4" width="7" bestFit="1" customWidth="1"/>
    <col min="5" max="5" width="10.15234375" bestFit="1" customWidth="1"/>
    <col min="6" max="6" width="9.3046875" bestFit="1" customWidth="1"/>
    <col min="7" max="7" width="42.3046875" bestFit="1" customWidth="1"/>
    <col min="8" max="8" width="11.15234375" bestFit="1" customWidth="1"/>
    <col min="9" max="9" width="16.8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100</v>
      </c>
      <c r="C2">
        <v>3</v>
      </c>
      <c r="D2" t="s">
        <v>101</v>
      </c>
      <c r="E2" s="5">
        <v>45993</v>
      </c>
      <c r="F2">
        <v>0</v>
      </c>
      <c r="H2" t="s">
        <v>45</v>
      </c>
      <c r="I2" t="s">
        <v>102</v>
      </c>
    </row>
    <row r="3" spans="1:9" x14ac:dyDescent="0.4">
      <c r="A3">
        <v>2</v>
      </c>
      <c r="B3" t="s">
        <v>104</v>
      </c>
      <c r="C3">
        <v>3</v>
      </c>
      <c r="D3" t="s">
        <v>101</v>
      </c>
      <c r="E3" s="5">
        <v>45993</v>
      </c>
      <c r="F3">
        <v>0</v>
      </c>
      <c r="H3" t="s">
        <v>46</v>
      </c>
      <c r="I3" t="s">
        <v>103</v>
      </c>
    </row>
    <row r="4" spans="1:9" x14ac:dyDescent="0.4">
      <c r="A4">
        <v>3</v>
      </c>
      <c r="B4" t="s">
        <v>105</v>
      </c>
      <c r="C4">
        <v>3</v>
      </c>
      <c r="D4" t="s">
        <v>101</v>
      </c>
      <c r="E4" s="5">
        <v>45993</v>
      </c>
      <c r="F4">
        <v>0</v>
      </c>
      <c r="H4" t="s">
        <v>45</v>
      </c>
      <c r="I4" t="s">
        <v>102</v>
      </c>
    </row>
    <row r="5" spans="1:9" x14ac:dyDescent="0.4">
      <c r="A5">
        <v>4</v>
      </c>
      <c r="B5" t="s">
        <v>106</v>
      </c>
      <c r="C5">
        <v>3</v>
      </c>
      <c r="D5" t="s">
        <v>101</v>
      </c>
      <c r="E5" s="5">
        <v>45993</v>
      </c>
      <c r="F5">
        <v>1</v>
      </c>
      <c r="G5" t="s">
        <v>107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2B24-DBE3-4840-8223-9386DC0034D3}">
  <dimension ref="A1:I8"/>
  <sheetViews>
    <sheetView workbookViewId="0">
      <selection activeCell="G27" sqref="G27"/>
    </sheetView>
  </sheetViews>
  <sheetFormatPr baseColWidth="10" defaultColWidth="11.3828125" defaultRowHeight="14.6" x14ac:dyDescent="0.4"/>
  <cols>
    <col min="1" max="1" width="2.69140625" bestFit="1" customWidth="1"/>
    <col min="2" max="2" width="44.3046875" bestFit="1" customWidth="1"/>
    <col min="3" max="3" width="7.69140625" bestFit="1" customWidth="1"/>
    <col min="4" max="4" width="5.84375" bestFit="1" customWidth="1"/>
    <col min="5" max="5" width="5" bestFit="1" customWidth="1"/>
    <col min="6" max="6" width="9.3046875" bestFit="1" customWidth="1"/>
    <col min="7" max="7" width="79.69140625" bestFit="1" customWidth="1"/>
    <col min="8" max="8" width="11.15234375" bestFit="1" customWidth="1"/>
    <col min="9" max="9" width="32.1523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108</v>
      </c>
      <c r="C2">
        <v>44</v>
      </c>
      <c r="D2">
        <v>12</v>
      </c>
      <c r="F2">
        <v>0</v>
      </c>
      <c r="G2" t="s">
        <v>109</v>
      </c>
      <c r="H2" t="s">
        <v>45</v>
      </c>
      <c r="I2" t="s">
        <v>102</v>
      </c>
    </row>
    <row r="3" spans="1:9" x14ac:dyDescent="0.4">
      <c r="A3">
        <v>2</v>
      </c>
      <c r="B3" t="s">
        <v>110</v>
      </c>
      <c r="C3">
        <v>44</v>
      </c>
      <c r="D3">
        <v>12</v>
      </c>
      <c r="F3">
        <v>0</v>
      </c>
      <c r="H3" t="s">
        <v>45</v>
      </c>
      <c r="I3" t="s">
        <v>111</v>
      </c>
    </row>
    <row r="4" spans="1:9" x14ac:dyDescent="0.4">
      <c r="A4">
        <v>3</v>
      </c>
      <c r="B4" t="s">
        <v>112</v>
      </c>
      <c r="C4">
        <v>44</v>
      </c>
      <c r="D4">
        <v>12</v>
      </c>
      <c r="F4">
        <v>0</v>
      </c>
      <c r="G4" t="s">
        <v>113</v>
      </c>
      <c r="H4" t="s">
        <v>45</v>
      </c>
      <c r="I4" t="s">
        <v>114</v>
      </c>
    </row>
    <row r="5" spans="1:9" x14ac:dyDescent="0.4">
      <c r="A5">
        <v>4</v>
      </c>
      <c r="B5" t="s">
        <v>115</v>
      </c>
      <c r="C5">
        <v>44</v>
      </c>
      <c r="D5">
        <v>12</v>
      </c>
      <c r="F5">
        <v>0</v>
      </c>
      <c r="G5" t="s">
        <v>116</v>
      </c>
      <c r="H5" t="s">
        <v>45</v>
      </c>
      <c r="I5" t="s">
        <v>47</v>
      </c>
    </row>
    <row r="6" spans="1:9" x14ac:dyDescent="0.4">
      <c r="A6">
        <v>5</v>
      </c>
      <c r="B6" t="s">
        <v>117</v>
      </c>
      <c r="C6">
        <v>44</v>
      </c>
      <c r="D6">
        <v>12</v>
      </c>
      <c r="F6">
        <v>0</v>
      </c>
      <c r="H6" t="s">
        <v>45</v>
      </c>
      <c r="I6" t="s">
        <v>118</v>
      </c>
    </row>
    <row r="7" spans="1:9" x14ac:dyDescent="0.4">
      <c r="A7">
        <v>6</v>
      </c>
      <c r="B7" t="s">
        <v>119</v>
      </c>
      <c r="C7">
        <v>44</v>
      </c>
      <c r="D7">
        <v>12</v>
      </c>
      <c r="F7">
        <v>0</v>
      </c>
      <c r="H7" t="s">
        <v>45</v>
      </c>
      <c r="I7" t="s">
        <v>102</v>
      </c>
    </row>
    <row r="8" spans="1:9" x14ac:dyDescent="0.4">
      <c r="A8">
        <v>7</v>
      </c>
      <c r="B8" t="s">
        <v>120</v>
      </c>
      <c r="C8">
        <v>44</v>
      </c>
      <c r="D8">
        <v>12</v>
      </c>
      <c r="F8">
        <v>1</v>
      </c>
      <c r="G8" t="s">
        <v>121</v>
      </c>
    </row>
  </sheetData>
  <hyperlinks>
    <hyperlink ref="B2" r:id="rId1" xr:uid="{2A6B4A91-B585-4B00-945B-BE45C1703711}"/>
    <hyperlink ref="B5" r:id="rId2" xr:uid="{4E5E5066-BA9F-4571-B0CC-A1EACA10E9C4}"/>
    <hyperlink ref="B6" r:id="rId3" xr:uid="{5ED8F823-3DDD-41B3-B221-1EE70AC6D88A}"/>
    <hyperlink ref="B8" r:id="rId4" xr:uid="{D47B08CC-3DA4-41C4-BC87-232CC95879DF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D8DB-4624-40B7-82FF-C8DFF8849866}">
  <dimension ref="A1:I14"/>
  <sheetViews>
    <sheetView workbookViewId="0">
      <pane ySplit="1" topLeftCell="A2" activePane="bottomLeft" state="frozen"/>
      <selection activeCell="E38" sqref="E38"/>
      <selection pane="bottomLeft" activeCell="I12" sqref="I12"/>
    </sheetView>
  </sheetViews>
  <sheetFormatPr baseColWidth="10" defaultColWidth="11.3828125" defaultRowHeight="14.6" x14ac:dyDescent="0.4"/>
  <cols>
    <col min="1" max="1" width="3" bestFit="1" customWidth="1"/>
    <col min="2" max="2" width="44.152343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32.84375" bestFit="1" customWidth="1"/>
    <col min="8" max="8" width="11.15234375" bestFit="1" customWidth="1"/>
    <col min="9" max="9" width="29.535156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122</v>
      </c>
      <c r="C2">
        <v>31</v>
      </c>
      <c r="D2">
        <v>4</v>
      </c>
      <c r="E2" s="5">
        <v>45993</v>
      </c>
      <c r="F2">
        <v>0</v>
      </c>
      <c r="G2" t="s">
        <v>123</v>
      </c>
      <c r="H2" t="s">
        <v>45</v>
      </c>
      <c r="I2" t="s">
        <v>47</v>
      </c>
    </row>
    <row r="3" spans="1:9" x14ac:dyDescent="0.4">
      <c r="A3">
        <v>2</v>
      </c>
      <c r="B3" t="s">
        <v>124</v>
      </c>
      <c r="C3">
        <v>31</v>
      </c>
      <c r="D3">
        <v>4</v>
      </c>
      <c r="E3" s="5">
        <v>45993</v>
      </c>
      <c r="F3">
        <v>0</v>
      </c>
      <c r="G3" t="s">
        <v>125</v>
      </c>
      <c r="H3" t="s">
        <v>45</v>
      </c>
      <c r="I3" t="s">
        <v>295</v>
      </c>
    </row>
    <row r="4" spans="1:9" x14ac:dyDescent="0.4">
      <c r="A4">
        <v>3</v>
      </c>
      <c r="B4" t="s">
        <v>126</v>
      </c>
      <c r="C4">
        <v>31</v>
      </c>
      <c r="D4">
        <v>4</v>
      </c>
      <c r="E4" s="5">
        <v>45993</v>
      </c>
      <c r="F4">
        <v>0</v>
      </c>
      <c r="H4" t="s">
        <v>45</v>
      </c>
      <c r="I4" t="s">
        <v>102</v>
      </c>
    </row>
    <row r="5" spans="1:9" x14ac:dyDescent="0.4">
      <c r="A5">
        <v>4</v>
      </c>
      <c r="B5" t="s">
        <v>127</v>
      </c>
      <c r="C5">
        <v>31</v>
      </c>
      <c r="D5">
        <v>4</v>
      </c>
      <c r="E5" s="5">
        <v>45993</v>
      </c>
      <c r="F5">
        <v>0</v>
      </c>
      <c r="H5" t="s">
        <v>45</v>
      </c>
      <c r="I5" t="s">
        <v>83</v>
      </c>
    </row>
    <row r="6" spans="1:9" x14ac:dyDescent="0.4">
      <c r="A6">
        <v>5</v>
      </c>
      <c r="B6" t="s">
        <v>128</v>
      </c>
      <c r="C6">
        <v>31</v>
      </c>
      <c r="D6">
        <v>4</v>
      </c>
      <c r="E6" s="5">
        <v>45993</v>
      </c>
      <c r="F6">
        <v>0</v>
      </c>
      <c r="H6" t="s">
        <v>45</v>
      </c>
      <c r="I6" t="s">
        <v>129</v>
      </c>
    </row>
    <row r="7" spans="1:9" x14ac:dyDescent="0.4">
      <c r="A7">
        <v>6</v>
      </c>
      <c r="B7" t="s">
        <v>130</v>
      </c>
      <c r="C7">
        <v>31</v>
      </c>
      <c r="D7">
        <v>4</v>
      </c>
      <c r="E7" s="5">
        <v>45993</v>
      </c>
      <c r="F7">
        <v>0</v>
      </c>
      <c r="G7" t="s">
        <v>131</v>
      </c>
      <c r="H7" t="s">
        <v>45</v>
      </c>
      <c r="I7" t="s">
        <v>47</v>
      </c>
    </row>
    <row r="8" spans="1:9" x14ac:dyDescent="0.4">
      <c r="A8">
        <v>7</v>
      </c>
      <c r="B8" t="s">
        <v>132</v>
      </c>
      <c r="C8">
        <v>31</v>
      </c>
      <c r="D8">
        <v>4</v>
      </c>
      <c r="E8" s="5">
        <v>45993</v>
      </c>
      <c r="F8">
        <v>0</v>
      </c>
      <c r="H8" t="s">
        <v>45</v>
      </c>
      <c r="I8" t="s">
        <v>32</v>
      </c>
    </row>
    <row r="9" spans="1:9" x14ac:dyDescent="0.4">
      <c r="A9">
        <v>8</v>
      </c>
      <c r="B9" t="s">
        <v>133</v>
      </c>
      <c r="C9">
        <v>31</v>
      </c>
      <c r="D9">
        <v>4</v>
      </c>
      <c r="E9" s="5">
        <v>45993</v>
      </c>
      <c r="F9">
        <v>0</v>
      </c>
      <c r="H9" t="s">
        <v>46</v>
      </c>
      <c r="I9" t="s">
        <v>134</v>
      </c>
    </row>
    <row r="10" spans="1:9" x14ac:dyDescent="0.4">
      <c r="A10">
        <v>9</v>
      </c>
      <c r="B10" t="s">
        <v>137</v>
      </c>
      <c r="C10">
        <v>31</v>
      </c>
      <c r="D10">
        <v>3</v>
      </c>
      <c r="E10" s="5">
        <v>46001</v>
      </c>
      <c r="F10">
        <v>0</v>
      </c>
      <c r="H10" t="s">
        <v>45</v>
      </c>
      <c r="I10" t="s">
        <v>183</v>
      </c>
    </row>
    <row r="11" spans="1:9" x14ac:dyDescent="0.4">
      <c r="A11">
        <v>10</v>
      </c>
      <c r="B11" t="s">
        <v>138</v>
      </c>
      <c r="C11">
        <v>31</v>
      </c>
      <c r="D11">
        <v>3</v>
      </c>
      <c r="E11" s="5">
        <v>46001</v>
      </c>
      <c r="F11">
        <v>0</v>
      </c>
      <c r="G11" t="s">
        <v>139</v>
      </c>
      <c r="H11" t="s">
        <v>45</v>
      </c>
      <c r="I11" t="s">
        <v>183</v>
      </c>
    </row>
    <row r="12" spans="1:9" x14ac:dyDescent="0.4">
      <c r="A12">
        <v>11</v>
      </c>
      <c r="B12" t="s">
        <v>140</v>
      </c>
      <c r="C12">
        <v>31</v>
      </c>
      <c r="D12">
        <v>3</v>
      </c>
      <c r="E12" s="5">
        <v>46001</v>
      </c>
      <c r="F12">
        <v>0</v>
      </c>
      <c r="H12" t="s">
        <v>45</v>
      </c>
      <c r="I12" t="s">
        <v>141</v>
      </c>
    </row>
    <row r="13" spans="1:9" x14ac:dyDescent="0.4">
      <c r="A13">
        <v>12</v>
      </c>
      <c r="B13" t="s">
        <v>142</v>
      </c>
      <c r="C13">
        <v>31</v>
      </c>
      <c r="D13">
        <v>3</v>
      </c>
      <c r="E13" s="5">
        <v>46001</v>
      </c>
      <c r="F13">
        <v>0</v>
      </c>
      <c r="H13" t="s">
        <v>45</v>
      </c>
      <c r="I13" t="s">
        <v>47</v>
      </c>
    </row>
    <row r="14" spans="1:9" x14ac:dyDescent="0.4">
      <c r="A14">
        <v>13</v>
      </c>
      <c r="B14" t="s">
        <v>143</v>
      </c>
      <c r="C14">
        <v>31</v>
      </c>
      <c r="D14">
        <v>2</v>
      </c>
      <c r="E14" s="5">
        <v>46001</v>
      </c>
      <c r="F14">
        <v>1</v>
      </c>
      <c r="G14" t="s">
        <v>144</v>
      </c>
      <c r="H14" t="s">
        <v>45</v>
      </c>
    </row>
  </sheetData>
  <hyperlinks>
    <hyperlink ref="B9" r:id="rId1" xr:uid="{96F60459-5715-41D8-B549-C623884ACDA7}"/>
    <hyperlink ref="B2" r:id="rId2" xr:uid="{D54E5962-75BF-43E3-A646-5D836A7D49BC}"/>
    <hyperlink ref="B3" r:id="rId3" xr:uid="{79623D0B-E8EB-4F9F-948B-C101A0C9DB3B}"/>
    <hyperlink ref="B7" r:id="rId4" xr:uid="{6BC604CB-84D3-4155-A4F9-6D572FDF51EA}"/>
    <hyperlink ref="B10" r:id="rId5" xr:uid="{B7DDFBA4-F659-429C-B751-3AF65870D0B9}"/>
    <hyperlink ref="B11" r:id="rId6" xr:uid="{9358F99D-FB83-4BE2-AE46-D259CFA7B4B9}"/>
    <hyperlink ref="B13" r:id="rId7" xr:uid="{444633B9-FD3C-45BA-8814-D9DF1C2DD8D6}"/>
    <hyperlink ref="B14" r:id="rId8" xr:uid="{3589980E-9E3C-42C8-AA75-85567ADD2E43}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1064-751D-4ACA-AC35-158431E534FA}">
  <dimension ref="A1:I8"/>
  <sheetViews>
    <sheetView workbookViewId="0">
      <pane ySplit="1" topLeftCell="A2" activePane="bottomLeft" state="frozen"/>
      <selection activeCell="E38" sqref="E38"/>
      <selection pane="bottomLeft" activeCell="G2" sqref="G2"/>
    </sheetView>
  </sheetViews>
  <sheetFormatPr baseColWidth="10" defaultColWidth="11.3828125" defaultRowHeight="14.6" x14ac:dyDescent="0.4"/>
  <cols>
    <col min="1" max="1" width="2.69140625" bestFit="1" customWidth="1"/>
    <col min="2" max="2" width="43.843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11.3046875" bestFit="1" customWidth="1"/>
    <col min="8" max="8" width="11.15234375" bestFit="1" customWidth="1"/>
    <col min="9" max="9" width="15.535156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146</v>
      </c>
      <c r="C2">
        <v>154</v>
      </c>
      <c r="D2">
        <v>12</v>
      </c>
      <c r="E2" s="5">
        <v>46001</v>
      </c>
      <c r="F2">
        <v>1</v>
      </c>
      <c r="G2" t="s">
        <v>147</v>
      </c>
    </row>
    <row r="3" spans="1:9" x14ac:dyDescent="0.4">
      <c r="E3" s="5"/>
    </row>
    <row r="4" spans="1:9" x14ac:dyDescent="0.4">
      <c r="E4" s="5"/>
    </row>
    <row r="5" spans="1:9" x14ac:dyDescent="0.4">
      <c r="E5" s="5"/>
    </row>
    <row r="6" spans="1:9" x14ac:dyDescent="0.4">
      <c r="E6" s="5"/>
    </row>
    <row r="7" spans="1:9" x14ac:dyDescent="0.4">
      <c r="E7" s="5"/>
    </row>
    <row r="8" spans="1:9" x14ac:dyDescent="0.4">
      <c r="E8" s="5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D9F-0891-4C89-AD6E-B0243B401E71}">
  <dimension ref="A1:I16"/>
  <sheetViews>
    <sheetView workbookViewId="0">
      <pane ySplit="1" topLeftCell="A2" activePane="bottomLeft" state="frozen"/>
      <selection activeCell="E38" sqref="E38"/>
      <selection pane="bottomLeft" activeCell="I13" sqref="I13"/>
    </sheetView>
  </sheetViews>
  <sheetFormatPr baseColWidth="10" defaultColWidth="11.3828125" defaultRowHeight="14.6" x14ac:dyDescent="0.4"/>
  <cols>
    <col min="1" max="1" width="3" bestFit="1" customWidth="1"/>
    <col min="2" max="2" width="44.152343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72.3828125" bestFit="1" customWidth="1"/>
    <col min="8" max="8" width="11.15234375" bestFit="1" customWidth="1"/>
    <col min="9" max="9" width="39.38281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149</v>
      </c>
      <c r="C2">
        <v>51</v>
      </c>
      <c r="D2">
        <v>12</v>
      </c>
      <c r="E2" s="5">
        <v>46005</v>
      </c>
      <c r="F2">
        <v>0</v>
      </c>
      <c r="H2" t="s">
        <v>46</v>
      </c>
      <c r="I2" t="s">
        <v>150</v>
      </c>
    </row>
    <row r="3" spans="1:9" x14ac:dyDescent="0.4">
      <c r="A3">
        <v>2</v>
      </c>
      <c r="B3" t="s">
        <v>151</v>
      </c>
      <c r="C3">
        <v>51</v>
      </c>
      <c r="D3">
        <v>12</v>
      </c>
      <c r="E3" s="5">
        <v>46005</v>
      </c>
      <c r="F3">
        <v>0</v>
      </c>
      <c r="H3" t="s">
        <v>46</v>
      </c>
      <c r="I3" t="s">
        <v>150</v>
      </c>
    </row>
    <row r="4" spans="1:9" x14ac:dyDescent="0.4">
      <c r="A4">
        <v>3</v>
      </c>
      <c r="B4" t="s">
        <v>152</v>
      </c>
      <c r="C4">
        <v>51</v>
      </c>
      <c r="D4">
        <v>12</v>
      </c>
      <c r="E4" s="5">
        <v>46006</v>
      </c>
      <c r="F4">
        <v>0</v>
      </c>
      <c r="H4" t="s">
        <v>45</v>
      </c>
      <c r="I4" t="s">
        <v>158</v>
      </c>
    </row>
    <row r="5" spans="1:9" x14ac:dyDescent="0.4">
      <c r="A5">
        <v>4</v>
      </c>
      <c r="B5" t="s">
        <v>153</v>
      </c>
      <c r="C5">
        <v>51</v>
      </c>
      <c r="D5">
        <v>12</v>
      </c>
      <c r="E5" s="5">
        <v>46006</v>
      </c>
      <c r="F5">
        <v>0</v>
      </c>
      <c r="G5" t="s">
        <v>166</v>
      </c>
      <c r="H5" t="s">
        <v>45</v>
      </c>
      <c r="I5" t="s">
        <v>167</v>
      </c>
    </row>
    <row r="6" spans="1:9" x14ac:dyDescent="0.4">
      <c r="A6">
        <v>5</v>
      </c>
      <c r="B6" t="s">
        <v>154</v>
      </c>
      <c r="C6">
        <v>51</v>
      </c>
      <c r="D6">
        <v>12</v>
      </c>
      <c r="E6" s="5">
        <v>46006</v>
      </c>
      <c r="F6">
        <v>0</v>
      </c>
      <c r="H6" t="s">
        <v>45</v>
      </c>
      <c r="I6" t="s">
        <v>34</v>
      </c>
    </row>
    <row r="7" spans="1:9" x14ac:dyDescent="0.4">
      <c r="A7">
        <v>6</v>
      </c>
      <c r="B7" t="s">
        <v>155</v>
      </c>
      <c r="C7">
        <v>51</v>
      </c>
      <c r="D7">
        <v>12</v>
      </c>
      <c r="E7" s="5">
        <v>46006</v>
      </c>
      <c r="F7">
        <v>0</v>
      </c>
      <c r="G7" t="s">
        <v>273</v>
      </c>
      <c r="H7" t="s">
        <v>45</v>
      </c>
      <c r="I7" t="s">
        <v>47</v>
      </c>
    </row>
    <row r="8" spans="1:9" x14ac:dyDescent="0.4">
      <c r="A8">
        <v>7</v>
      </c>
      <c r="B8" t="s">
        <v>156</v>
      </c>
      <c r="C8">
        <v>51</v>
      </c>
      <c r="D8">
        <v>12</v>
      </c>
      <c r="E8" s="5">
        <v>46006</v>
      </c>
      <c r="F8">
        <v>0</v>
      </c>
      <c r="H8" t="s">
        <v>45</v>
      </c>
      <c r="I8" t="s">
        <v>168</v>
      </c>
    </row>
    <row r="9" spans="1:9" x14ac:dyDescent="0.4">
      <c r="A9">
        <v>8</v>
      </c>
      <c r="B9" t="s">
        <v>157</v>
      </c>
      <c r="C9">
        <v>51</v>
      </c>
      <c r="D9">
        <v>12</v>
      </c>
      <c r="E9" s="5">
        <v>46006</v>
      </c>
      <c r="F9">
        <v>0</v>
      </c>
      <c r="H9" t="s">
        <v>46</v>
      </c>
      <c r="I9" t="s">
        <v>169</v>
      </c>
    </row>
    <row r="10" spans="1:9" x14ac:dyDescent="0.4">
      <c r="A10">
        <v>9</v>
      </c>
      <c r="B10" t="s">
        <v>170</v>
      </c>
      <c r="C10">
        <v>51</v>
      </c>
      <c r="D10">
        <v>11</v>
      </c>
      <c r="E10" s="5">
        <v>46006</v>
      </c>
      <c r="F10">
        <v>0</v>
      </c>
      <c r="H10" t="s">
        <v>46</v>
      </c>
      <c r="I10" t="s">
        <v>175</v>
      </c>
    </row>
    <row r="11" spans="1:9" x14ac:dyDescent="0.4">
      <c r="A11">
        <v>10</v>
      </c>
      <c r="B11" t="s">
        <v>171</v>
      </c>
      <c r="C11">
        <v>51</v>
      </c>
      <c r="D11">
        <v>11</v>
      </c>
      <c r="E11" s="5">
        <v>46006</v>
      </c>
      <c r="F11">
        <v>0</v>
      </c>
      <c r="H11" t="s">
        <v>43</v>
      </c>
      <c r="I11" t="s">
        <v>42</v>
      </c>
    </row>
    <row r="12" spans="1:9" x14ac:dyDescent="0.4">
      <c r="A12">
        <v>11</v>
      </c>
      <c r="B12" t="s">
        <v>172</v>
      </c>
      <c r="C12">
        <v>51</v>
      </c>
      <c r="D12">
        <v>11</v>
      </c>
      <c r="E12" s="5">
        <v>46006</v>
      </c>
      <c r="F12">
        <v>0</v>
      </c>
      <c r="H12" t="s">
        <v>43</v>
      </c>
      <c r="I12" t="s">
        <v>42</v>
      </c>
    </row>
    <row r="13" spans="1:9" x14ac:dyDescent="0.4">
      <c r="A13">
        <v>12</v>
      </c>
      <c r="B13" t="s">
        <v>173</v>
      </c>
      <c r="C13">
        <v>51</v>
      </c>
      <c r="D13">
        <v>11</v>
      </c>
      <c r="E13" s="5">
        <v>46006</v>
      </c>
      <c r="F13">
        <v>0</v>
      </c>
      <c r="G13" t="s">
        <v>176</v>
      </c>
      <c r="H13" t="s">
        <v>43</v>
      </c>
      <c r="I13" t="s">
        <v>198</v>
      </c>
    </row>
    <row r="14" spans="1:9" x14ac:dyDescent="0.4">
      <c r="A14">
        <v>13</v>
      </c>
      <c r="B14" t="s">
        <v>174</v>
      </c>
      <c r="C14">
        <v>51</v>
      </c>
      <c r="D14">
        <v>11</v>
      </c>
      <c r="E14" s="5">
        <v>46006</v>
      </c>
      <c r="F14">
        <v>1</v>
      </c>
      <c r="G14" t="s">
        <v>177</v>
      </c>
      <c r="H14" t="s">
        <v>45</v>
      </c>
    </row>
    <row r="15" spans="1:9" x14ac:dyDescent="0.4">
      <c r="B15" s="4"/>
      <c r="E15" s="5"/>
    </row>
    <row r="16" spans="1:9" x14ac:dyDescent="0.4">
      <c r="B16" s="4"/>
      <c r="E16" s="5"/>
    </row>
  </sheetData>
  <hyperlinks>
    <hyperlink ref="B5" r:id="rId1" xr:uid="{A534FD39-21F5-4D9F-8A59-28B28925DF56}"/>
    <hyperlink ref="B6" r:id="rId2" xr:uid="{55E7FB22-3746-4737-86E6-B4601D5AAF82}"/>
    <hyperlink ref="B7" r:id="rId3" xr:uid="{12589DD9-9519-422B-87AD-EEE9BF6353FF}"/>
    <hyperlink ref="B8" r:id="rId4" xr:uid="{C753FCEC-318E-40C3-876E-C8E198F0ED03}"/>
    <hyperlink ref="B9" r:id="rId5" xr:uid="{90DEEBD3-6012-4981-9DD5-7B3AE018B5CC}"/>
    <hyperlink ref="B10" r:id="rId6" xr:uid="{5333738A-1A26-4C83-82A7-F7658EDCEB41}"/>
    <hyperlink ref="B11" r:id="rId7" xr:uid="{9329CADB-DA49-410E-B0F2-EF1A2840C4CB}"/>
    <hyperlink ref="B12" r:id="rId8" xr:uid="{33770720-77C2-4AAA-A756-668D43E71270}"/>
    <hyperlink ref="B13" r:id="rId9" xr:uid="{6F0DA566-7698-42AA-A06A-7F211756669E}"/>
    <hyperlink ref="B14" r:id="rId10" xr:uid="{D60179DA-0C0F-436B-8CED-DB445ADDDCDB}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7974-1BD2-4026-979C-4057EB7AAE76}">
  <dimension ref="A1:J2"/>
  <sheetViews>
    <sheetView zoomScaleNormal="100" workbookViewId="0">
      <pane ySplit="1" topLeftCell="A2" activePane="bottomLeft" state="frozen"/>
      <selection activeCell="E38" sqref="E38"/>
      <selection pane="bottomLeft" activeCell="B2" sqref="B2"/>
    </sheetView>
  </sheetViews>
  <sheetFormatPr baseColWidth="10" defaultColWidth="11.3828125" defaultRowHeight="14.6" x14ac:dyDescent="0.4"/>
  <cols>
    <col min="1" max="1" width="2.69140625" bestFit="1" customWidth="1"/>
    <col min="2" max="2" width="45.382812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21.53515625" bestFit="1" customWidth="1"/>
    <col min="8" max="8" width="11.15234375" bestFit="1" customWidth="1"/>
    <col min="9" max="9" width="16.84375" bestFit="1" customWidth="1"/>
    <col min="10" max="10" width="5.15234375" bestFit="1" customWidth="1"/>
  </cols>
  <sheetData>
    <row r="1" spans="1:10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  <c r="J1" s="3" t="s">
        <v>207</v>
      </c>
    </row>
    <row r="2" spans="1:10" x14ac:dyDescent="0.4">
      <c r="A2">
        <v>1</v>
      </c>
      <c r="B2" t="s">
        <v>178</v>
      </c>
      <c r="C2">
        <v>129</v>
      </c>
      <c r="D2">
        <v>6</v>
      </c>
      <c r="E2" s="5">
        <v>46006</v>
      </c>
      <c r="F2">
        <v>1</v>
      </c>
      <c r="G2" t="s">
        <v>179</v>
      </c>
    </row>
  </sheetData>
  <hyperlinks>
    <hyperlink ref="B2" r:id="rId1" xr:uid="{9963271E-416D-4BCC-8584-8873508324AE}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6FBC-A9C0-46ED-86FF-C0EA5BB9CF54}">
  <dimension ref="A1:J8"/>
  <sheetViews>
    <sheetView zoomScaleNormal="100" workbookViewId="0">
      <pane ySplit="1" topLeftCell="A2" activePane="bottomLeft" state="frozen"/>
      <selection activeCell="E38" sqref="E38"/>
      <selection pane="bottomLeft" activeCell="H5" sqref="H5"/>
    </sheetView>
  </sheetViews>
  <sheetFormatPr baseColWidth="10" defaultColWidth="11.3828125" defaultRowHeight="14.6" x14ac:dyDescent="0.4"/>
  <cols>
    <col min="1" max="1" width="3" bestFit="1" customWidth="1"/>
    <col min="2" max="2" width="39.382812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44.84375" bestFit="1" customWidth="1"/>
    <col min="8" max="8" width="11.15234375" bestFit="1" customWidth="1"/>
    <col min="9" max="9" width="14.69140625" bestFit="1" customWidth="1"/>
    <col min="10" max="10" width="5.15234375" bestFit="1" customWidth="1"/>
  </cols>
  <sheetData>
    <row r="1" spans="1:10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  <c r="J1" s="3" t="s">
        <v>207</v>
      </c>
    </row>
    <row r="2" spans="1:10" x14ac:dyDescent="0.4">
      <c r="A2">
        <v>1</v>
      </c>
      <c r="B2" t="s">
        <v>180</v>
      </c>
      <c r="C2">
        <v>51</v>
      </c>
      <c r="D2">
        <v>12</v>
      </c>
      <c r="E2" s="5">
        <v>46006</v>
      </c>
      <c r="F2">
        <v>0</v>
      </c>
      <c r="H2" t="s">
        <v>45</v>
      </c>
      <c r="I2" t="s">
        <v>102</v>
      </c>
    </row>
    <row r="3" spans="1:10" x14ac:dyDescent="0.4">
      <c r="A3">
        <v>2</v>
      </c>
      <c r="B3" t="s">
        <v>181</v>
      </c>
      <c r="C3">
        <v>51</v>
      </c>
      <c r="D3">
        <v>12</v>
      </c>
      <c r="E3" s="5">
        <v>46006</v>
      </c>
      <c r="F3">
        <v>0</v>
      </c>
      <c r="H3" t="s">
        <v>45</v>
      </c>
      <c r="I3" t="s">
        <v>102</v>
      </c>
    </row>
    <row r="4" spans="1:10" x14ac:dyDescent="0.4">
      <c r="A4">
        <v>3</v>
      </c>
      <c r="B4" t="s">
        <v>182</v>
      </c>
      <c r="C4">
        <v>51</v>
      </c>
      <c r="D4">
        <v>12</v>
      </c>
      <c r="E4" s="5">
        <v>46006</v>
      </c>
      <c r="F4">
        <v>0</v>
      </c>
      <c r="H4" t="s">
        <v>45</v>
      </c>
      <c r="I4" t="s">
        <v>183</v>
      </c>
    </row>
    <row r="5" spans="1:10" x14ac:dyDescent="0.4">
      <c r="A5">
        <v>4</v>
      </c>
      <c r="B5" t="s">
        <v>184</v>
      </c>
      <c r="C5">
        <v>51</v>
      </c>
      <c r="D5">
        <v>12</v>
      </c>
      <c r="E5" s="5">
        <v>46006</v>
      </c>
      <c r="F5">
        <v>0</v>
      </c>
      <c r="G5" t="s">
        <v>185</v>
      </c>
      <c r="H5" t="s">
        <v>45</v>
      </c>
      <c r="I5" t="s">
        <v>183</v>
      </c>
    </row>
    <row r="6" spans="1:10" x14ac:dyDescent="0.4">
      <c r="A6">
        <v>5</v>
      </c>
      <c r="B6" t="s">
        <v>186</v>
      </c>
      <c r="C6">
        <v>51</v>
      </c>
      <c r="D6">
        <v>12</v>
      </c>
      <c r="E6" s="5">
        <v>46006</v>
      </c>
      <c r="F6">
        <v>0</v>
      </c>
      <c r="H6" t="s">
        <v>46</v>
      </c>
      <c r="I6" t="s">
        <v>49</v>
      </c>
    </row>
    <row r="7" spans="1:10" x14ac:dyDescent="0.4">
      <c r="A7">
        <v>6</v>
      </c>
      <c r="B7" t="s">
        <v>187</v>
      </c>
      <c r="C7">
        <v>51</v>
      </c>
      <c r="D7">
        <v>12</v>
      </c>
      <c r="E7" s="5">
        <v>46006</v>
      </c>
      <c r="F7">
        <v>0</v>
      </c>
      <c r="H7" t="s">
        <v>45</v>
      </c>
      <c r="I7" t="s">
        <v>102</v>
      </c>
    </row>
    <row r="8" spans="1:10" x14ac:dyDescent="0.4">
      <c r="A8">
        <v>7</v>
      </c>
      <c r="B8" t="s">
        <v>188</v>
      </c>
      <c r="C8">
        <v>51</v>
      </c>
      <c r="D8">
        <v>12</v>
      </c>
      <c r="E8" s="5">
        <v>46006</v>
      </c>
      <c r="F8">
        <v>1</v>
      </c>
      <c r="G8" t="s">
        <v>189</v>
      </c>
    </row>
  </sheetData>
  <hyperlinks>
    <hyperlink ref="B8" r:id="rId1" xr:uid="{F9CEE108-BB22-4B33-8DA3-BEB30DAE3BBD}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F6FD-ED1C-442B-BDAD-CF3A953FABD0}">
  <dimension ref="A1:I3"/>
  <sheetViews>
    <sheetView zoomScaleNormal="100" workbookViewId="0">
      <pane ySplit="1" topLeftCell="A2" activePane="bottomLeft" state="frozen"/>
      <selection activeCell="E38" sqref="E38"/>
      <selection pane="bottomLeft" activeCell="I3" sqref="I3"/>
    </sheetView>
  </sheetViews>
  <sheetFormatPr baseColWidth="10" defaultColWidth="11.3828125" defaultRowHeight="14.6" x14ac:dyDescent="0.4"/>
  <cols>
    <col min="1" max="1" width="2.69140625" bestFit="1" customWidth="1"/>
    <col min="2" max="2" width="44.30468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16.3046875" bestFit="1" customWidth="1"/>
    <col min="8" max="8" width="11.15234375" bestFit="1" customWidth="1"/>
    <col min="9" max="9" width="14.691406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190</v>
      </c>
      <c r="C2">
        <v>40</v>
      </c>
      <c r="D2">
        <v>8</v>
      </c>
      <c r="E2" s="5">
        <v>46007</v>
      </c>
      <c r="F2">
        <v>0</v>
      </c>
      <c r="G2" t="s">
        <v>191</v>
      </c>
      <c r="H2" t="s">
        <v>45</v>
      </c>
      <c r="I2" t="s">
        <v>47</v>
      </c>
    </row>
    <row r="3" spans="1:9" x14ac:dyDescent="0.4">
      <c r="A3">
        <v>2</v>
      </c>
      <c r="B3" t="s">
        <v>192</v>
      </c>
      <c r="C3">
        <v>40</v>
      </c>
      <c r="D3">
        <v>8</v>
      </c>
      <c r="E3" s="5">
        <v>46007</v>
      </c>
      <c r="F3">
        <v>1</v>
      </c>
      <c r="G3" t="s">
        <v>193</v>
      </c>
    </row>
  </sheetData>
  <hyperlinks>
    <hyperlink ref="B2" r:id="rId1" xr:uid="{04B05280-C189-4561-A393-BFE988EA7617}"/>
    <hyperlink ref="B3" r:id="rId2" xr:uid="{2B474C1D-6F7C-4508-9F73-E6933DFEDBE6}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234-409A-480D-A90B-AD08933D36DC}">
  <dimension ref="A1:I5"/>
  <sheetViews>
    <sheetView workbookViewId="0">
      <pane ySplit="1" topLeftCell="A2" activePane="bottomLeft" state="frozen"/>
      <selection activeCell="E38" sqref="E38"/>
      <selection pane="bottomLeft" activeCell="B5" sqref="B5"/>
    </sheetView>
  </sheetViews>
  <sheetFormatPr baseColWidth="10" defaultColWidth="11.3828125" defaultRowHeight="14.6" x14ac:dyDescent="0.4"/>
  <cols>
    <col min="1" max="1" width="2.69140625" bestFit="1" customWidth="1"/>
    <col min="2" max="2" width="44.15234375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10.3046875" bestFit="1" customWidth="1"/>
    <col min="8" max="8" width="11.15234375" bestFit="1" customWidth="1"/>
    <col min="9" max="9" width="16.8437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194</v>
      </c>
      <c r="C2">
        <v>31</v>
      </c>
      <c r="D2">
        <v>4</v>
      </c>
      <c r="E2" s="5">
        <v>46007</v>
      </c>
      <c r="F2">
        <v>0</v>
      </c>
      <c r="H2" t="s">
        <v>45</v>
      </c>
      <c r="I2" t="s">
        <v>102</v>
      </c>
    </row>
    <row r="3" spans="1:9" x14ac:dyDescent="0.4">
      <c r="A3">
        <v>2</v>
      </c>
      <c r="B3" t="s">
        <v>195</v>
      </c>
      <c r="C3">
        <v>31</v>
      </c>
      <c r="D3">
        <v>4</v>
      </c>
      <c r="E3" s="5">
        <v>46007</v>
      </c>
      <c r="F3">
        <v>0</v>
      </c>
      <c r="G3" t="s">
        <v>196</v>
      </c>
      <c r="H3" t="s">
        <v>45</v>
      </c>
      <c r="I3" t="s">
        <v>47</v>
      </c>
    </row>
    <row r="4" spans="1:9" x14ac:dyDescent="0.4">
      <c r="A4">
        <v>3</v>
      </c>
      <c r="B4" t="s">
        <v>197</v>
      </c>
      <c r="C4">
        <v>31</v>
      </c>
      <c r="D4">
        <v>4</v>
      </c>
      <c r="E4" s="5">
        <v>46007</v>
      </c>
      <c r="F4">
        <v>0</v>
      </c>
      <c r="H4" t="s">
        <v>45</v>
      </c>
      <c r="I4" t="s">
        <v>198</v>
      </c>
    </row>
    <row r="5" spans="1:9" x14ac:dyDescent="0.4">
      <c r="A5">
        <v>4</v>
      </c>
      <c r="B5" t="s">
        <v>199</v>
      </c>
      <c r="C5">
        <v>31</v>
      </c>
      <c r="D5">
        <v>4</v>
      </c>
      <c r="E5" s="5">
        <v>46007</v>
      </c>
      <c r="F5">
        <v>1</v>
      </c>
      <c r="G5" t="s">
        <v>69</v>
      </c>
    </row>
  </sheetData>
  <hyperlinks>
    <hyperlink ref="B5" r:id="rId1" xr:uid="{37EBAA0E-6A5A-420F-9A22-755FB0D5993A}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BCD-4792-448C-A830-B8E207383257}">
  <dimension ref="A1:I5"/>
  <sheetViews>
    <sheetView workbookViewId="0">
      <selection activeCell="F13" sqref="F13"/>
    </sheetView>
  </sheetViews>
  <sheetFormatPr baseColWidth="10" defaultColWidth="11.3828125" defaultRowHeight="14.6" x14ac:dyDescent="0.4"/>
  <cols>
    <col min="1" max="1" width="2.69140625" bestFit="1" customWidth="1"/>
    <col min="2" max="2" width="39" bestFit="1" customWidth="1"/>
    <col min="3" max="3" width="7.69140625" bestFit="1" customWidth="1"/>
    <col min="4" max="4" width="5.84375" bestFit="1" customWidth="1"/>
    <col min="5" max="5" width="10.15234375" bestFit="1" customWidth="1"/>
    <col min="6" max="6" width="9.3046875" bestFit="1" customWidth="1"/>
    <col min="7" max="7" width="14" bestFit="1" customWidth="1"/>
    <col min="8" max="8" width="11.15234375" bestFit="1" customWidth="1"/>
    <col min="9" max="9" width="13.3828125" bestFit="1" customWidth="1"/>
  </cols>
  <sheetData>
    <row r="1" spans="1:9" s="3" customFormat="1" x14ac:dyDescent="0.4">
      <c r="A1" s="3" t="s">
        <v>33</v>
      </c>
      <c r="B1" s="3" t="s">
        <v>36</v>
      </c>
      <c r="C1" s="3" t="s">
        <v>206</v>
      </c>
      <c r="D1" s="3" t="s">
        <v>35</v>
      </c>
      <c r="E1" s="3" t="s">
        <v>30</v>
      </c>
      <c r="F1" s="3" t="s">
        <v>37</v>
      </c>
      <c r="G1" s="3" t="s">
        <v>40</v>
      </c>
      <c r="H1" s="3" t="s">
        <v>44</v>
      </c>
      <c r="I1" s="3" t="s">
        <v>38</v>
      </c>
    </row>
    <row r="2" spans="1:9" x14ac:dyDescent="0.4">
      <c r="A2">
        <v>1</v>
      </c>
      <c r="B2" t="s">
        <v>200</v>
      </c>
      <c r="C2">
        <v>56</v>
      </c>
      <c r="D2">
        <v>3</v>
      </c>
      <c r="E2" s="5">
        <v>46007</v>
      </c>
      <c r="F2">
        <v>0</v>
      </c>
      <c r="H2" t="s">
        <v>45</v>
      </c>
      <c r="I2" t="s">
        <v>32</v>
      </c>
    </row>
    <row r="3" spans="1:9" x14ac:dyDescent="0.4">
      <c r="A3">
        <v>2</v>
      </c>
      <c r="B3" t="s">
        <v>202</v>
      </c>
      <c r="C3">
        <v>56</v>
      </c>
      <c r="D3">
        <v>3</v>
      </c>
      <c r="E3" s="5">
        <v>46007</v>
      </c>
      <c r="F3">
        <v>0</v>
      </c>
      <c r="H3" t="s">
        <v>45</v>
      </c>
      <c r="I3" t="s">
        <v>201</v>
      </c>
    </row>
    <row r="4" spans="1:9" x14ac:dyDescent="0.4">
      <c r="A4">
        <v>3</v>
      </c>
      <c r="B4" t="s">
        <v>203</v>
      </c>
      <c r="C4">
        <v>56</v>
      </c>
      <c r="D4">
        <v>3</v>
      </c>
      <c r="E4" s="5">
        <v>46007</v>
      </c>
      <c r="F4">
        <v>0</v>
      </c>
      <c r="H4" t="s">
        <v>45</v>
      </c>
      <c r="I4" t="s">
        <v>183</v>
      </c>
    </row>
    <row r="5" spans="1:9" x14ac:dyDescent="0.4">
      <c r="A5">
        <v>4</v>
      </c>
      <c r="B5" t="s">
        <v>204</v>
      </c>
      <c r="C5">
        <v>56</v>
      </c>
      <c r="D5">
        <v>3</v>
      </c>
      <c r="E5" s="5">
        <v>46007</v>
      </c>
      <c r="F5">
        <v>1</v>
      </c>
      <c r="G5" t="s">
        <v>205</v>
      </c>
    </row>
  </sheetData>
  <hyperlinks>
    <hyperlink ref="B5" r:id="rId1" xr:uid="{0DD6CF02-712C-4534-A847-79D6F922A2FD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D318D-D642-4F8C-85A4-A50551CC05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sample_papers</vt:lpstr>
      <vt:lpstr>search_protocol</vt:lpstr>
      <vt:lpstr>MP</vt:lpstr>
      <vt:lpstr>AMPPS</vt:lpstr>
      <vt:lpstr>APL</vt:lpstr>
      <vt:lpstr>CPS</vt:lpstr>
      <vt:lpstr>CPSY</vt:lpstr>
      <vt:lpstr>CRSP</vt:lpstr>
      <vt:lpstr>EP</vt:lpstr>
      <vt:lpstr>GEP</vt:lpstr>
      <vt:lpstr>HP</vt:lpstr>
      <vt:lpstr>JEPA</vt:lpstr>
      <vt:lpstr>JEPG</vt:lpstr>
      <vt:lpstr>JEPHPP</vt:lpstr>
      <vt:lpstr>JPSP</vt:lpstr>
      <vt:lpstr>PSPB</vt:lpstr>
      <vt:lpstr>PA</vt:lpstr>
      <vt:lpstr>PPPL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Wittmann, Anna</dc:creator>
  <cp:lastModifiedBy>Wittmann, Anna</cp:lastModifiedBy>
  <cp:lastPrinted>2025-12-16T16:18:24Z</cp:lastPrinted>
  <dcterms:created xsi:type="dcterms:W3CDTF">2025-11-19T16:18:59Z</dcterms:created>
  <dcterms:modified xsi:type="dcterms:W3CDTF">2026-09-07T12:46:51Z</dcterms:modified>
</cp:coreProperties>
</file>